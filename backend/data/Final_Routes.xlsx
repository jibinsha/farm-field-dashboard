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Team</t>
        </is>
      </c>
      <c r="C1" s="1" t="inlineStr">
        <is>
          <t>Stops</t>
        </is>
      </c>
      <c r="D1" s="1" t="inlineStr">
        <is>
          <t>Route_Link</t>
        </is>
      </c>
    </row>
    <row r="2">
      <c r="A2" t="n">
        <v>1</v>
      </c>
      <c r="B2" t="inlineStr">
        <is>
          <t>Team 1</t>
        </is>
      </c>
      <c r="C2" t="n">
        <v>10</v>
      </c>
      <c r="D2">
        <f>HYPERLINK("https://www.google.com/maps/dir/12.184,75.928/12.35514,75.8018/12.35553,75.80152/12.35585,75.80322/12.35583,75.80416/12.35719,75.80329/12.35525,75.80146/12.35618,75.80343/12.35604,75.80447/12.35759,75.80354/12.35596,75.80276/12.184,75.928", "Open Route")</f>
        <v/>
      </c>
    </row>
    <row r="3">
      <c r="A3" t="n">
        <v>1</v>
      </c>
      <c r="B3" t="inlineStr">
        <is>
          <t>Team 2</t>
        </is>
      </c>
      <c r="C3" t="n">
        <v>10</v>
      </c>
      <c r="D3">
        <f>HYPERLINK("https://www.google.com/maps/dir/12.184,75.928/12.161659,75.724212/12.16375,75.72616/12.163901,75.716381/12.166037,75.725438/12.157701,75.722595/12.157371,75.723411/12.157281,75.723526/12.154715,75.720211/12.158528,75.721357/12.156746,75.722551/12.184,75.928", "Open Route")</f>
        <v/>
      </c>
    </row>
    <row r="4">
      <c r="A4" t="n">
        <v>1</v>
      </c>
      <c r="B4" t="inlineStr">
        <is>
          <t>Team 3</t>
        </is>
      </c>
      <c r="C4" t="n">
        <v>4</v>
      </c>
      <c r="D4">
        <f>HYPERLINK("https://www.google.com/maps/dir/12.184,75.928/12.127254,75.989402/12.117329,75.995614/12.133971,75.9886407/12.115033,75.9837671/12.184,75.928", "Open Route")</f>
        <v/>
      </c>
    </row>
    <row r="5">
      <c r="A5" t="n">
        <v>2</v>
      </c>
      <c r="B5" t="inlineStr">
        <is>
          <t>Team 1</t>
        </is>
      </c>
      <c r="C5" t="n">
        <v>9</v>
      </c>
      <c r="D5">
        <f>HYPERLINK("https://www.google.com/maps/dir/12.184,75.928/12.400808,75.728222/12.404338,75.722052/12.411036,75.729794/12.412202,75.730789/12.428975,75.727983/12.436823,75.735296/12.452281,75.733052/12.449267,75.733576/12.419273,75.736207/12.184,75.928", "Open Route")</f>
        <v/>
      </c>
    </row>
    <row r="6">
      <c r="A6" t="n">
        <v>2</v>
      </c>
      <c r="B6" t="inlineStr">
        <is>
          <t>Team 2</t>
        </is>
      </c>
      <c r="C6" t="n">
        <v>7</v>
      </c>
      <c r="D6">
        <f>HYPERLINK("https://www.google.com/maps/dir/12.184,75.928/12.508289,75.831714/12.521988,75.837639/12.52833363,75.842139/12.532531,75.849186/12.532422,75.848473/12.53236,75.85079/12.521486,75.893551/12.184,75.928", "Open Route")</f>
        <v/>
      </c>
    </row>
    <row r="7">
      <c r="A7" t="n">
        <v>2</v>
      </c>
      <c r="B7" t="inlineStr">
        <is>
          <t>Team 3</t>
        </is>
      </c>
      <c r="C7" t="n">
        <v>10</v>
      </c>
      <c r="D7">
        <f>HYPERLINK("https://www.google.com/maps/dir/12.184,75.928/12.240152,75.924201/12.24194,75.91619/12.2498163,75.9187061/12.259239,75.907065/12.260119,75.907867/12.267124,75.912116/12.308777,75.900744/12.261827,75.926651/12.245854,75.917757/12.244237,75.918575/12.184,75.928", "Open Route")</f>
        <v/>
      </c>
    </row>
    <row r="8">
      <c r="A8" t="n">
        <v>3</v>
      </c>
      <c r="B8" t="inlineStr">
        <is>
          <t>Team 1</t>
        </is>
      </c>
      <c r="C8" t="n">
        <v>8</v>
      </c>
      <c r="D8">
        <f>HYPERLINK("https://www.google.com/maps/dir/12.184,75.928/12.246351,75.813681/12.2346,75.774883/12.234426,75.774812/12.249511,75.750292/12.253867,75.740151/12.260448,75.759401/12.305315,75.796235/12.27835,75.82819/12.184,75.928", "Open Route")</f>
        <v/>
      </c>
    </row>
    <row r="9">
      <c r="A9" t="n">
        <v>3</v>
      </c>
      <c r="B9" t="inlineStr">
        <is>
          <t>Team 2</t>
        </is>
      </c>
      <c r="C9" t="n">
        <v>9</v>
      </c>
      <c r="D9">
        <f>HYPERLINK("https://www.google.com/maps/dir/12.184,75.928/12.266563,75.671231/12.233109,75.661924/12.253749,75.675839/12.242847,75.674269/12.252721,75.675499/12.252885,75.675935/12.250459,75.674651/12.252174,75.675419/12.237561,75.68452/12.184,75.928", "Open Route")</f>
        <v/>
      </c>
    </row>
    <row r="10">
      <c r="A10" t="n">
        <v>3</v>
      </c>
      <c r="B10" t="inlineStr">
        <is>
          <t>Team 3</t>
        </is>
      </c>
      <c r="C10" t="n">
        <v>10</v>
      </c>
      <c r="D10">
        <f>HYPERLINK("https://www.google.com/maps/dir/12.184,75.928/12.325177,75.95927/12.334708,75.961043/12.336203,75.961265/12.335451,75.961233/12.336479,75.961203/12.32344,75.96018/12.303798,75.963477/12.30732,75.95917/12.306251,75.969394/12.308425,75.951279/12.184,75.928", "Open Route")</f>
        <v/>
      </c>
    </row>
    <row r="11">
      <c r="A11" t="n">
        <v>4</v>
      </c>
      <c r="B11" t="inlineStr">
        <is>
          <t>Team 1</t>
        </is>
      </c>
      <c r="C11" t="n">
        <v>10</v>
      </c>
      <c r="D11">
        <f>HYPERLINK("https://www.google.com/maps/dir/12.184,75.928/12.416672,75.871428/12.417443,75.872019/12.416589,75.871281/12.416628,75.871409/12.405516,75.859262/12.415441,75.865414/12.4151,75.86275/12.41556,75.86403/12.415842,75.869/12.41529,75.86652/12.184,75.928", "Open Route")</f>
        <v/>
      </c>
    </row>
    <row r="12">
      <c r="A12" t="n">
        <v>4</v>
      </c>
      <c r="B12" t="inlineStr">
        <is>
          <t>Team 2</t>
        </is>
      </c>
      <c r="C12" t="n">
        <v>10</v>
      </c>
      <c r="D12">
        <f>HYPERLINK("https://www.google.com/maps/dir/12.184,75.928/12.309381,75.952851/12.30935,75.95322/12.306806,75.919252/12.307187,75.941676/12.309583,75.943927/12.31226,75.942596/12.31187,75.943186/12.31652,75.93436/12.299591,75.919519/12.304921,75.919569/12.184,75.928", "Open Route")</f>
        <v/>
      </c>
    </row>
    <row r="13">
      <c r="A13" t="n">
        <v>5</v>
      </c>
      <c r="B13" t="inlineStr">
        <is>
          <t>Team 1</t>
        </is>
      </c>
      <c r="C13" t="n">
        <v>10</v>
      </c>
      <c r="D13">
        <f>HYPERLINK("https://www.google.com/maps/dir/12.184,75.928/12.022074,75.966346/11.997872,75.958891/12.000336,75.958054/12.004538,75.948993/12.00223,75.954485/12.000712,75.945818/12.008714,75.953231/12.007837,75.950856/12.026124,75.958542/12.022139,75.965827/12.184,75.928", "Open Route")</f>
        <v/>
      </c>
    </row>
    <row r="14">
      <c r="A14" t="n">
        <v>5</v>
      </c>
      <c r="B14" t="inlineStr">
        <is>
          <t>Team 2</t>
        </is>
      </c>
      <c r="C14" t="n">
        <v>10</v>
      </c>
      <c r="D14">
        <f>HYPERLINK("https://www.google.com/maps/dir/12.184,75.928/12.381693,75.668351/12.369094,75.660139/12.385324,75.668045/12.377791,75.675493/12.360392,75.665952/12.370672,75.635772/12.371558,75.603508/12.385208,75.623367/12.362472,75.673104/12.36379,75.669788/12.184,75.928", "Open Route")</f>
        <v/>
      </c>
    </row>
    <row r="15">
      <c r="A15" t="n">
        <v>5</v>
      </c>
      <c r="B15" t="inlineStr">
        <is>
          <t>Team 3</t>
        </is>
      </c>
      <c r="C15" t="n">
        <v>10</v>
      </c>
      <c r="D15">
        <f>HYPERLINK("https://www.google.com/maps/dir/12.184,75.928/12.343999,75.818518/12.354582,75.837384/12.35075,75.84186/12.34341,75.841707/12.3429735,75.8446278/12.33601,75.83871/12.33485,75.84275/12.33113,75.84361/12.335841,75.841961/12.338038,75.841503/12.184,75.928", "Open Route")</f>
        <v/>
      </c>
    </row>
    <row r="16">
      <c r="A16" t="n">
        <v>6</v>
      </c>
      <c r="B16" t="inlineStr">
        <is>
          <t>Team 1</t>
        </is>
      </c>
      <c r="C16" t="n">
        <v>10</v>
      </c>
      <c r="D16">
        <f>HYPERLINK("https://www.google.com/maps/dir/12.184,75.928/12.072467,75.944443/12.070179,75.944816/12.070622,75.952649/12.069527,75.952641/12.070665,75.952631/12.071299,75.943804/12.069967,75.943533/12.071409,75.943963/12.070401,75.943661/12.072467,75.9444436/12.184,75.928", "Open Route")</f>
        <v/>
      </c>
    </row>
    <row r="17">
      <c r="A17" t="n">
        <v>6</v>
      </c>
      <c r="B17" t="inlineStr">
        <is>
          <t>Team 3</t>
        </is>
      </c>
      <c r="C17" t="n">
        <v>10</v>
      </c>
      <c r="D17">
        <f>HYPERLINK("https://www.google.com/maps/dir/12.184,75.928/12.47176,75.8843/12.475478,75.880829/12.47497,75.87451/12.480855,75.872122/12.47023,75.88535/12.47001419,75.88622812/12.4644758,75.8924823/12.4722749,75.8985965/12.46764189,75.8985165/12.4618724,75.89192022/12.184,75.928", "Open Route")</f>
        <v/>
      </c>
    </row>
    <row r="18">
      <c r="A18" t="n">
        <v>7</v>
      </c>
      <c r="B18" t="inlineStr">
        <is>
          <t>Team 1</t>
        </is>
      </c>
      <c r="C18" t="n">
        <v>7</v>
      </c>
      <c r="D18">
        <f>HYPERLINK("https://www.google.com/maps/dir/12.184,75.928/12.340114,75.898981/12.327614,75.951834/12.33067,75.92902/12.323929,75.925289/12.36098,75.996708/12.37314,75.98532/12.37307,75.98305/12.184,75.928", "Open Route")</f>
        <v/>
      </c>
    </row>
    <row r="19">
      <c r="A19" t="n">
        <v>7</v>
      </c>
      <c r="B19" t="inlineStr">
        <is>
          <t>Team 2</t>
        </is>
      </c>
      <c r="C19" t="n">
        <v>10</v>
      </c>
      <c r="D19">
        <f>HYPERLINK("https://www.google.com/maps/dir/12.184,75.928/12.199218,75.849918/12.211108,75.847297/12.211291,75.846861/12.213775,75.839873/12.205734,75.846193/12.200695,75.850503/12.207371,75.837008/12.239183,75.831917/12.257994,75.838783/12.267228,75.843322/12.184,75.928", "Open Route")</f>
        <v/>
      </c>
    </row>
    <row r="20">
      <c r="A20" t="n">
        <v>7</v>
      </c>
      <c r="B20" t="inlineStr">
        <is>
          <t>Team 3</t>
        </is>
      </c>
      <c r="C20" t="n">
        <v>10</v>
      </c>
      <c r="D20">
        <f>HYPERLINK("https://www.google.com/maps/dir/12.184,75.928/12.251039,75.953533/12.249239,75.953449/12.246341,75.955198/12.249851,75.938522/12.24003,75.94151/12.270203,75.960429/12.26705,75.94715/12.267236,75.933149/12.2826948,75.9405309/12.286038,75.932504/12.184,75.928", "Open Route")</f>
        <v/>
      </c>
    </row>
    <row r="21">
      <c r="A21" t="n">
        <v>8</v>
      </c>
      <c r="B21" t="inlineStr">
        <is>
          <t>Team 1</t>
        </is>
      </c>
      <c r="C21" t="n">
        <v>10</v>
      </c>
      <c r="D21">
        <f>HYPERLINK("https://www.google.com/maps/dir/12.184,75.928/12.269077,75.654387/12.267224,75.655795/12.264044,75.658463/12.270383,75.651685/12.259881,75.647771/12.274349,75.640409/12.274803,75.635756/12.279781,75.639021/12.275682,75.642055/12.275351,75.641648/12.184,75.928", "Open Route")</f>
        <v/>
      </c>
    </row>
    <row r="22">
      <c r="A22" t="n">
        <v>8</v>
      </c>
      <c r="B22" t="inlineStr">
        <is>
          <t>Team 2</t>
        </is>
      </c>
      <c r="C22" t="n">
        <v>6</v>
      </c>
      <c r="D22">
        <f>HYPERLINK("https://www.google.com/maps/dir/12.184,75.928/12.469812,75.679007/12.471778,75.6939/12.467802,75.690073/12.4657503,75.689685/12.4634299,75.6932011/12.4587,75.693693/12.184,75.928", "Open Route")</f>
        <v/>
      </c>
    </row>
    <row r="23">
      <c r="A23" t="n">
        <v>8</v>
      </c>
      <c r="B23" t="inlineStr">
        <is>
          <t>Team 3</t>
        </is>
      </c>
      <c r="C23" t="n">
        <v>10</v>
      </c>
      <c r="D23">
        <f>HYPERLINK("https://www.google.com/maps/dir/12.184,75.928/12.246268,75.624717/12.260878,75.644558/12.252433,75.628829/12.251605,75.634506/12.253001,75.640488/12.252608,75.628919/12.248608,75.624332/12.255727,75.617775/12.258155,75.620821/12.254344,75.646444/12.184,75.928", "Open Route")</f>
        <v/>
      </c>
    </row>
    <row r="24">
      <c r="A24" t="n">
        <v>9</v>
      </c>
      <c r="B24" t="inlineStr">
        <is>
          <t>Team 1</t>
        </is>
      </c>
      <c r="C24" t="n">
        <v>10</v>
      </c>
      <c r="D24">
        <f>HYPERLINK("https://www.google.com/maps/dir/12.184,75.928/12.415822,75.668457/12.413784,75.665279/12.414613,75.664201/12.414792,75.65993/12.419928,75.660576/12.413563,75.663548/12.4190894,75.6620831/12.419103,75.661497/12.420399,75.657499/12.411602,75.66655/12.184,75.928", "Open Route")</f>
        <v/>
      </c>
    </row>
    <row r="25">
      <c r="A25" t="n">
        <v>9</v>
      </c>
      <c r="B25" t="inlineStr">
        <is>
          <t>Team 2</t>
        </is>
      </c>
      <c r="C25" t="n">
        <v>10</v>
      </c>
      <c r="D25">
        <f>HYPERLINK("https://www.google.com/maps/dir/12.184,75.928/12.322265,75.803859/12.322119,75.810796/12.319997,75.814622/12.320382,75.814396/12.319486,75.813597/12.323071,75.813591/12.317678,75.811639/12.323458,75.816171/12.31936,75.813422/12.32701,75.80296/12.184,75.928", "Open Route")</f>
        <v/>
      </c>
    </row>
    <row r="26">
      <c r="A26" t="n">
        <v>9</v>
      </c>
      <c r="B26" t="inlineStr">
        <is>
          <t>Team 3</t>
        </is>
      </c>
      <c r="C26" t="n">
        <v>10</v>
      </c>
      <c r="D26">
        <f>HYPERLINK("https://www.google.com/maps/dir/12.184,75.928/12.34223,75.79376/12.34669,75.79526/12.3405,75.81048/12.355548,75.806399/12.355593,75.806458/12.35309,75.80501/12.343029,75.812928/12.34575,75.81506/12.34579,75.81498/12.344837,75.813027/12.184,75.928", "Open Route")</f>
        <v/>
      </c>
    </row>
    <row r="27">
      <c r="A27" t="n">
        <v>10</v>
      </c>
      <c r="B27" t="inlineStr">
        <is>
          <t>Team 1</t>
        </is>
      </c>
      <c r="C27" t="n">
        <v>10</v>
      </c>
      <c r="D27">
        <f>HYPERLINK("https://www.google.com/maps/dir/12.184,75.928/12.26159,75.91374/12.26644,75.91974/12.2681,75.91657/12.266869,75.91707/12.265631,75.922398/12.28337,75.93436/12.272344,75.93331/12.266409,75.922577/12.268336,75.922111/12.28688,75.94778/12.184,75.928", "Open Route")</f>
        <v/>
      </c>
    </row>
    <row r="28">
      <c r="A28" t="n">
        <v>10</v>
      </c>
      <c r="B28" t="inlineStr">
        <is>
          <t>Team 2</t>
        </is>
      </c>
      <c r="C28" t="n">
        <v>8</v>
      </c>
      <c r="D28">
        <f>HYPERLINK("https://www.google.com/maps/dir/12.184,75.928/12.208583,75.746894/12.20676,75.742364/12.239808,75.735932/12.227202,75.750049/12.2270254,75.7533201/12.215788,75.755001/12.216321,75.755682/12.19793,75.74613/12.184,75.928", "Open Route")</f>
        <v/>
      </c>
    </row>
    <row r="29">
      <c r="A29" t="n">
        <v>10</v>
      </c>
      <c r="B29" t="inlineStr">
        <is>
          <t>Team 3</t>
        </is>
      </c>
      <c r="C29" t="n">
        <v>10</v>
      </c>
      <c r="D29">
        <f>HYPERLINK("https://www.google.com/maps/dir/12.184,75.928/12.175225,75.851453/12.186488,75.851078/12.175378,75.851379/12.168695,75.84992/12.170314,75.854728/12.174469,75.850943/12.118361,75.837691/12.156692,75.823006/12.188024,75.872218/12.190894,75.862655/12.184,75.928", "Open Route")</f>
        <v/>
      </c>
    </row>
    <row r="30">
      <c r="A30" t="n">
        <v>11</v>
      </c>
      <c r="B30" t="inlineStr">
        <is>
          <t>Team 1</t>
        </is>
      </c>
      <c r="C30" t="n">
        <v>10</v>
      </c>
      <c r="D30">
        <f>HYPERLINK("https://www.google.com/maps/dir/12.184,75.928/12.31129,75.9518/12.336427,75.919166/12.318214,75.939458/12.307427,75.945387/12.309799,75.934791/12.331715,75.915799/12.339342,75.91513/12.33917,75.915058/12.337211,75.918417/12.339601,75.914785/12.184,75.928", "Open Route")</f>
        <v/>
      </c>
    </row>
    <row r="31">
      <c r="A31" t="n">
        <v>11</v>
      </c>
      <c r="B31" t="inlineStr">
        <is>
          <t>Team 3</t>
        </is>
      </c>
      <c r="C31" t="n">
        <v>9</v>
      </c>
      <c r="D31">
        <f>HYPERLINK("https://www.google.com/maps/dir/12.184,75.928/12.295391,76.060821/12.27484,76.09588/12.345519,76.099056/12.292892,76.036832/12.345518,76.099056/12.305329,76.066624/12.28935,76.07024/12.28811,76.04724/12.303809,76.065643/12.184,75.928", "Open Route")</f>
        <v/>
      </c>
    </row>
    <row r="32">
      <c r="A32" t="n">
        <v>12</v>
      </c>
      <c r="B32" t="inlineStr">
        <is>
          <t>Team 1</t>
        </is>
      </c>
      <c r="C32" t="n">
        <v>8</v>
      </c>
      <c r="D32">
        <f>HYPERLINK("https://www.google.com/maps/dir/12.184,75.928/12.491666,75.772582/12.490547,75.766857/12.489468,75.772405/12.492166,75.771472/12.485933,75.776099/12.485515,75.775689/12.486291,75.776473/12.486495,75.776153/12.184,75.928", "Open Route")</f>
        <v/>
      </c>
    </row>
    <row r="33">
      <c r="A33" t="n">
        <v>12</v>
      </c>
      <c r="B33" t="inlineStr">
        <is>
          <t>Team 3</t>
        </is>
      </c>
      <c r="C33" t="n">
        <v>9</v>
      </c>
      <c r="D33">
        <f>HYPERLINK("https://www.google.com/maps/dir/12.184,75.928/12.014132,75.932418/12.013915,75.932476/12.013434,75.931423/12.013371,75.931028/12.007521,75.935002/12.010282,75.932458/12.006315,75.929715/12.015844,75.936524/12.019692,75.943968/12.184,75.928", "Open Route")</f>
        <v/>
      </c>
    </row>
    <row r="34">
      <c r="A34" t="n">
        <v>13</v>
      </c>
      <c r="B34" t="inlineStr">
        <is>
          <t>Team 1</t>
        </is>
      </c>
      <c r="C34" t="n">
        <v>10</v>
      </c>
      <c r="D34">
        <f>HYPERLINK("https://www.google.com/maps/dir/12.184,75.928/12.440615,75.855379/12.439711,75.856903/12.4341039,75.8572688/12.433338,75.8573053/12.433247,75.857981/12.4312342,75.8549238/12.4315966,75.8546629/12.431889,75.861082/12.433131,75.858176/12.432156,75.860646/12.184,75.928", "Open Route")</f>
        <v/>
      </c>
    </row>
    <row r="35">
      <c r="A35" t="n">
        <v>13</v>
      </c>
      <c r="B35" t="inlineStr">
        <is>
          <t>Team 2</t>
        </is>
      </c>
      <c r="C35" t="n">
        <v>6</v>
      </c>
      <c r="D35">
        <f>HYPERLINK("https://www.google.com/maps/dir/12.184,75.928/12.735073,75.925113/12.729568,75.925409/12.749985,75.931081/12.731538,75.932258/12.729488,75.932301/12.730012,75.933429/12.184,75.928", "Open Route")</f>
        <v/>
      </c>
    </row>
    <row r="36">
      <c r="A36" t="n">
        <v>13</v>
      </c>
      <c r="B36" t="inlineStr">
        <is>
          <t>Team 3</t>
        </is>
      </c>
      <c r="C36" t="n">
        <v>3</v>
      </c>
      <c r="D36">
        <f>HYPERLINK("https://www.google.com/maps/dir/12.184,75.928/12.223995,75.6506817/12.20478,75.65735/12.212749,75.684119/12.184,75.928", "Open Route")</f>
        <v/>
      </c>
    </row>
    <row r="37">
      <c r="A37" t="n">
        <v>14</v>
      </c>
      <c r="B37" t="inlineStr">
        <is>
          <t>Team 1</t>
        </is>
      </c>
      <c r="C37" t="n">
        <v>3</v>
      </c>
      <c r="D37">
        <f>HYPERLINK("https://www.google.com/maps/dir/12.184,75.928/12.591149,75.789578/12.580997,75.807531/12.56323,75.76832/12.184,75.928", "Open Route")</f>
        <v/>
      </c>
    </row>
    <row r="38">
      <c r="A38" t="n">
        <v>14</v>
      </c>
      <c r="B38" t="inlineStr">
        <is>
          <t>Team 2</t>
        </is>
      </c>
      <c r="C38" t="n">
        <v>10</v>
      </c>
      <c r="D38">
        <f>HYPERLINK("https://www.google.com/maps/dir/12.184,75.928/12.34344,75.83459/12.348565,75.832836/12.35122,75.838326/12.348192,75.831876/12.349326,75.832898/12.3438,75.83807/12.345043,75.838596/12.34355,75.83829/12.34854,75.83836/12.361729,75.852664/12.184,75.928", "Open Route")</f>
        <v/>
      </c>
    </row>
    <row r="39">
      <c r="A39" t="n">
        <v>14</v>
      </c>
      <c r="B39" t="inlineStr">
        <is>
          <t>Team 3</t>
        </is>
      </c>
      <c r="C39" t="n">
        <v>10</v>
      </c>
      <c r="D39">
        <f>HYPERLINK("https://www.google.com/maps/dir/12.184,75.928/12.05243,75.95054/12.057022,75.955079/12.057294,75.954881/12.036146,75.958613/12.033924,75.972665/12.03674,75.969993/12.046378,75.965872/12.058197,75.959294/12.061227,75.94981/12.066646,75.95335/12.184,75.928", "Open Route")</f>
        <v/>
      </c>
    </row>
    <row r="40">
      <c r="A40" t="n">
        <v>15</v>
      </c>
      <c r="B40" t="inlineStr">
        <is>
          <t>Team 1</t>
        </is>
      </c>
      <c r="C40" t="n">
        <v>10</v>
      </c>
      <c r="D40">
        <f>HYPERLINK("https://www.google.com/maps/dir/12.184,75.928/12.459214,75.77614/12.47007,75.779872/12.475451,75.782369/12.471936,75.780994/12.464333,75.785736/12.464318,75.788736/12.4873674,75.7939488/12.487121,75.794691/12.475896,75.788266/12.472833,75.779747/12.184,75.928", "Open Route")</f>
        <v/>
      </c>
    </row>
    <row r="41">
      <c r="A41" t="n">
        <v>15</v>
      </c>
      <c r="B41" t="inlineStr">
        <is>
          <t>Team 3</t>
        </is>
      </c>
      <c r="C41" t="n">
        <v>10</v>
      </c>
      <c r="D41">
        <f>HYPERLINK("https://www.google.com/maps/dir/12.184,75.928/12.27198,75.909991/12.270963,75.902285/12.26745,75.90017/12.26761,75.89981/12.26224,75.90154/12.27068,75.90219/12.25857,75.91587/12.290046,75.871325/12.291177,75.872909/12.300489,75.936489/12.184,75.928", "Open Route")</f>
        <v/>
      </c>
    </row>
    <row r="42">
      <c r="A42" t="n">
        <v>16</v>
      </c>
      <c r="B42" t="inlineStr">
        <is>
          <t>Team 2</t>
        </is>
      </c>
      <c r="C42" t="n">
        <v>10</v>
      </c>
      <c r="D42">
        <f>HYPERLINK("https://www.google.com/maps/dir/12.184,75.928/12.154493,75.938737/12.153614,75.939138/12.153406,75.941101/12.152916,75.941758/12.153035,75.943168/12.153661,75.941657/12.154183,75.94056/12.152527,75.937397/12.154485,75.940314/12.153929,75.938788/12.184,75.928", "Open Route")</f>
        <v/>
      </c>
    </row>
    <row r="43">
      <c r="A43" t="n">
        <v>16</v>
      </c>
      <c r="B43" t="inlineStr">
        <is>
          <t>Team 3</t>
        </is>
      </c>
      <c r="C43" t="n">
        <v>10</v>
      </c>
      <c r="D43">
        <f>HYPERLINK("https://www.google.com/maps/dir/12.184,75.928/12.036224,75.966482/12.030351,75.959232/12.023262,75.968029/12.023326,75.966171/12.018798,75.952129/12.019767,75.944044/12.020224,75.952341/12.019051,75.956184/12.021439,75.957643/12.020927,75.961392/12.184,75.928", "Open Route")</f>
        <v/>
      </c>
    </row>
    <row r="44">
      <c r="A44" t="n">
        <v>17</v>
      </c>
      <c r="B44" t="inlineStr">
        <is>
          <t>Team 1</t>
        </is>
      </c>
      <c r="C44" t="n">
        <v>7</v>
      </c>
      <c r="D44">
        <f>HYPERLINK("https://www.google.com/maps/dir/12.184,75.928/12.490753,12.827402/12.260511,75.634133/12.257957,75.643751/12.239644,75.632947/12.245055,75.619275/12.231854,75.629385/12.230927,75.629191/12.184,75.928", "Open Route")</f>
        <v/>
      </c>
    </row>
    <row r="45">
      <c r="A45" t="n">
        <v>17</v>
      </c>
      <c r="B45" t="inlineStr">
        <is>
          <t>Team 2</t>
        </is>
      </c>
      <c r="C45" t="n">
        <v>10</v>
      </c>
      <c r="D45">
        <f>HYPERLINK("https://www.google.com/maps/dir/12.184,75.928/12.371446,75.896256/12.36984,75.897765/12.369757,75.897045/12.370849,75.896351/12.369948,75.899532/12.372181,75.899881/12.372219,75.900112/12.37309,75.900111/12.373336,75.900015/12.374484,75.897383/12.184,75.928", "Open Route")</f>
        <v/>
      </c>
    </row>
    <row r="46">
      <c r="A46" t="n">
        <v>17</v>
      </c>
      <c r="B46" t="inlineStr">
        <is>
          <t>Team 3</t>
        </is>
      </c>
      <c r="C46" t="n">
        <v>10</v>
      </c>
      <c r="D46">
        <f>HYPERLINK("https://www.google.com/maps/dir/12.184,75.928/12.107929,75.943691/12.112811,75.966785/12.098182,75.980182/12.106538,75.978669/12.095703,75.978801/12.097109,75.982439/12.100866,75.971749/12.104137,75.968886/12.105805,75.963087/12.121489,75.961059/12.184,75.928", "Open Route")</f>
        <v/>
      </c>
    </row>
    <row r="47">
      <c r="A47" t="n">
        <v>18</v>
      </c>
      <c r="B47" t="inlineStr">
        <is>
          <t>Team 1</t>
        </is>
      </c>
      <c r="C47" t="n">
        <v>9</v>
      </c>
      <c r="D47">
        <f>HYPERLINK("https://www.google.com/maps/dir/12.184,75.928/12.084261,75.917536/12.069371,75.925841/12.061632,75.93244/12.063469,75.920431/12.060295,75.929347/12.059366,75.928313/12.051545,75.923688/12.065053,75.933754/12.067591,75.935268/12.184,75.928", "Open Route")</f>
        <v/>
      </c>
    </row>
    <row r="48">
      <c r="A48" t="n">
        <v>19</v>
      </c>
      <c r="B48" t="inlineStr">
        <is>
          <t>Team 1</t>
        </is>
      </c>
      <c r="C48" t="n">
        <v>10</v>
      </c>
      <c r="D48">
        <f>HYPERLINK("https://www.google.com/maps/dir/12.184,75.928/12.301987,75.957861/12.305474,75.950663/12.302583,75.953673/12.30462,75.95105/12.302715,75.949433/12.30023,75.94891/12.311856,75.946006/12.313041,75.944777/12.31299,75.94879/12.31296,75.94782/12.184,75.928", "Open Route")</f>
        <v/>
      </c>
    </row>
    <row r="49">
      <c r="A49" t="n">
        <v>19</v>
      </c>
      <c r="B49" t="inlineStr">
        <is>
          <t>Team 3</t>
        </is>
      </c>
      <c r="C49" t="n">
        <v>10</v>
      </c>
      <c r="D49">
        <f>HYPERLINK("https://www.google.com/maps/dir/12.184,75.928/12.2789857,75.9382597/12.275093,75.932514/12.298426,75.944981/12.297564,75.957972/12.299465,75.959172/12.298296,75.945752/12.298487,75.945168/12.3061189,75.947633/12.27376,75.952945/12.274084,75.934218/12.184,75.928", "Open Route")</f>
        <v/>
      </c>
    </row>
    <row r="50">
      <c r="A50" t="n">
        <v>20</v>
      </c>
      <c r="B50" t="inlineStr">
        <is>
          <t>Team 1</t>
        </is>
      </c>
      <c r="C50" t="n">
        <v>9</v>
      </c>
      <c r="D50">
        <f>HYPERLINK("https://www.google.com/maps/dir/12.184,75.928/12.361314,75.851169/12.372392,75.857121/12.369842,75.831594/12.36794,75.830207/12.367862,75.826193/12.369927,75.823805/12.377461,75.82718/12.377371,75.827899/12.35533,75.829447/12.184,75.928", "Open Route")</f>
        <v/>
      </c>
    </row>
    <row r="51">
      <c r="A51" t="n">
        <v>20</v>
      </c>
      <c r="B51" t="inlineStr">
        <is>
          <t>Team 2</t>
        </is>
      </c>
      <c r="C51" t="n">
        <v>10</v>
      </c>
      <c r="D51">
        <f>HYPERLINK("https://www.google.com/maps/dir/12.184,75.928/12.041059,75.915797/12.033389,75.915692/12.036384,75.910309/12.032284,75.904537/12.033537,75.907185/12.034177,75.916708/12.036123,75.914258/12.03223,75.91813785/12.033295,75.916394/12.020999,75.918452/12.184,75.928", "Open Route")</f>
        <v/>
      </c>
    </row>
    <row r="52">
      <c r="A52" t="n">
        <v>20</v>
      </c>
      <c r="B52" t="inlineStr">
        <is>
          <t>Team 3</t>
        </is>
      </c>
      <c r="C52" t="n">
        <v>10</v>
      </c>
      <c r="D52">
        <f>HYPERLINK("https://www.google.com/maps/dir/12.184,75.928/12.278718,75.75675/12.28491,75.750382/12.28273,75.750613/12.306418,75.759214/12.312401,75.745911/12.32654,75.78534/12.325722,75.785057/12.32841,75.80981/12.3133366,75.8094751/12.286457,75.802578/12.184,75.928", "Open Route")</f>
        <v/>
      </c>
    </row>
    <row r="53">
      <c r="A53" t="n">
        <v>21</v>
      </c>
      <c r="B53" t="inlineStr">
        <is>
          <t>Team 3</t>
        </is>
      </c>
      <c r="C53" t="n">
        <v>4</v>
      </c>
      <c r="D53">
        <f>HYPERLINK("https://www.google.com/maps/dir/12.184,75.928/12.78985,75.874813/12.844071,75.772996/12.847619,75.775825/12.846519,75.772691/12.184,75.928", "Open Route")</f>
        <v/>
      </c>
    </row>
    <row r="54">
      <c r="A54" t="n">
        <v>22</v>
      </c>
      <c r="B54" t="inlineStr">
        <is>
          <t>Team 2</t>
        </is>
      </c>
      <c r="C54" t="n">
        <v>10</v>
      </c>
      <c r="D54">
        <f>HYPERLINK("https://www.google.com/maps/dir/12.184,75.928/12.010061,75.982094/12.009393,75.983131/12.009332,75.984618/12.012866,75.982118/12.0081,75.980981/12.015886,75.989546/12.016772,75.985106/12.016472,75.982795/12.020941,75.986382/12.022371,75.980272/12.184,75.928", "Open Route")</f>
        <v/>
      </c>
    </row>
    <row r="55">
      <c r="A55" t="n">
        <v>22</v>
      </c>
      <c r="B55" t="inlineStr">
        <is>
          <t>Team 3</t>
        </is>
      </c>
      <c r="C55" t="n">
        <v>10</v>
      </c>
      <c r="D55">
        <f>HYPERLINK("https://www.google.com/maps/dir/12.184,75.928/12.112302,75.844067/12.122112,75.87547/12.09767,75.86855/12.098023,75.894279/12.098034,75.859041/12.092019,75.870723/12.09704,75.868741/12.104226,75.901252/12.096659,75.869896/12.120688,75.9122/12.184,75.928", "Open Route")</f>
        <v/>
      </c>
    </row>
    <row r="56">
      <c r="A56" t="n">
        <v>23</v>
      </c>
      <c r="B56" t="inlineStr">
        <is>
          <t>Team 1</t>
        </is>
      </c>
      <c r="C56" t="n">
        <v>10</v>
      </c>
      <c r="D56">
        <f>HYPERLINK("https://www.google.com/maps/dir/12.184,75.928/12.469799,75.774599/12.468955,75.776112/12.473267,75.771295/12.473173,75.771223/12.47224,75.776581/12.473501,75.771366/12.470344,75.774813/12.473438,75.77171/12.473345,75.771263/12.46857,75.77643/12.184,75.928", "Open Route")</f>
        <v/>
      </c>
    </row>
    <row r="57">
      <c r="A57" t="n">
        <v>23</v>
      </c>
      <c r="B57" t="inlineStr">
        <is>
          <t>Team 3</t>
        </is>
      </c>
      <c r="C57" t="n">
        <v>9</v>
      </c>
      <c r="D57">
        <f>HYPERLINK("https://www.google.com/maps/dir/12.184,75.928/12.45741,75.87634/12.45729,75.873981/12.457453,75.874266/12.457949,75.86735/12.454921,75.873257/12.4565,75.86852/12.452934,75.8782591/12.4651244,75.8754126/12.46238,75.8736/12.184,75.928", "Open Route")</f>
        <v/>
      </c>
    </row>
    <row r="58">
      <c r="A58" t="n">
        <v>24</v>
      </c>
      <c r="B58" t="inlineStr">
        <is>
          <t>Team 1</t>
        </is>
      </c>
      <c r="C58" t="n">
        <v>9</v>
      </c>
      <c r="D58">
        <f>HYPERLINK("https://www.google.com/maps/dir/12.184,75.928/12.239615,75.857908/12.239934,75.856639/12.2423823,75.8580503/12.239191,75.856579/12.235103,75.864271/12.238331,75.863783/12.240334,75.864201/12.238712,75.861023/12.238059,75.867257/12.184,75.928", "Open Route")</f>
        <v/>
      </c>
    </row>
    <row r="59">
      <c r="A59" t="n">
        <v>24</v>
      </c>
      <c r="B59" t="inlineStr">
        <is>
          <t>Team 2</t>
        </is>
      </c>
      <c r="C59" t="n">
        <v>9</v>
      </c>
      <c r="D59">
        <f>HYPERLINK("https://www.google.com/maps/dir/12.184,75.928/12.100544,75.846553/12.104449,75.855181/12.102916,75.85029/12.103392,75.846639/12.112967,75.852432/12.103855,75.843686/12.10386,75.84369/12.1039,75.8437/12.117456,75.844444/12.184,75.928", "Open Route")</f>
        <v/>
      </c>
    </row>
    <row r="60">
      <c r="A60" t="n">
        <v>24</v>
      </c>
      <c r="B60" t="inlineStr">
        <is>
          <t>Team 3</t>
        </is>
      </c>
      <c r="C60" t="n">
        <v>9</v>
      </c>
      <c r="D60">
        <f>HYPERLINK("https://www.google.com/maps/dir/12.184,75.928/12.040212,75.973463/12.043895,75.970351/12.040801,75.971569/12.046525,75.969389/12.032119,75.967966/12.030335000000001,75.970171/12.029727,75.968493/12.029966,75.969497/12.043546,75.971568/12.184,75.928", "Open Route")</f>
        <v/>
      </c>
    </row>
    <row r="61">
      <c r="A61" t="n">
        <v>25</v>
      </c>
      <c r="B61" t="inlineStr">
        <is>
          <t>Team 1</t>
        </is>
      </c>
      <c r="C61" t="n">
        <v>10</v>
      </c>
      <c r="D61">
        <f>HYPERLINK("https://www.google.com/maps/dir/12.184,75.928/12.305014,75.935616/12.305982,75.935984/12.308931,75.938588/12.307307,75.938269/12.304311,75.939602/12.302841,75.954827/12.30368,75.95525/12.30331,75.95158/12.303074,75.955056/12.304882,75.955702/12.184,75.928", "Open Route")</f>
        <v/>
      </c>
    </row>
    <row r="62">
      <c r="A62" t="n">
        <v>25</v>
      </c>
      <c r="B62" t="inlineStr">
        <is>
          <t>Team 3</t>
        </is>
      </c>
      <c r="C62" t="n">
        <v>6</v>
      </c>
      <c r="D62">
        <f>HYPERLINK("https://www.google.com/maps/dir/12.184,75.928/12.302168,75.676991/12.298634,75.670626/12.298631,75.670627/12.288274,75.666858/12.298603,75.670622/12.298602,75.670611/12.184,75.928", "Open Route")</f>
        <v/>
      </c>
    </row>
    <row r="63">
      <c r="A63" t="n">
        <v>26</v>
      </c>
      <c r="B63" t="inlineStr">
        <is>
          <t>Team 1</t>
        </is>
      </c>
      <c r="C63" t="n">
        <v>10</v>
      </c>
      <c r="D63">
        <f>HYPERLINK("https://www.google.com/maps/dir/12.184,75.928/12.042715,75.845416/12.051142,75.846014/12.047911,75.842264/12.049873,75.847187/12.056046,75.835737/12.046909,75.839378/12.045814,75.840087/12.047134,75.842121/12.052179,75.840955/12.051249,75.840907/12.184,75.928", "Open Route")</f>
        <v/>
      </c>
    </row>
    <row r="64">
      <c r="A64" t="n">
        <v>27</v>
      </c>
      <c r="B64" t="inlineStr">
        <is>
          <t>Team 1</t>
        </is>
      </c>
      <c r="C64" t="n">
        <v>10</v>
      </c>
      <c r="D64">
        <f>HYPERLINK("https://www.google.com/maps/dir/12.184,75.928/12.319526,75.876146/12.317862,75.874027/12.31803,75.8808/12.31716,75.88046/12.315559,75.890099/12.322876,75.872751/12.32216,75.872132/12.32227,75.872233/12.323543,75.875725/12.323574,75.878125/12.184,75.928", "Open Route")</f>
        <v/>
      </c>
    </row>
    <row r="65">
      <c r="A65" t="n">
        <v>27</v>
      </c>
      <c r="B65" t="inlineStr">
        <is>
          <t>Team 2</t>
        </is>
      </c>
      <c r="C65" t="n">
        <v>10</v>
      </c>
      <c r="D65">
        <f>HYPERLINK("https://www.google.com/maps/dir/12.184,75.928/12.284384,75.844761/12.29138,75.85094/12.29164,75.851624/12.257451,75.834359/12.26666,75.823894/12.269094,75.802703/12.2508993,75.7930866/12.2508694,75.7932495/12.274301,75.837806/12.275871,75.835881/12.184,75.928", "Open Route")</f>
        <v/>
      </c>
    </row>
    <row r="66">
      <c r="A66" t="n">
        <v>28</v>
      </c>
      <c r="B66" t="inlineStr">
        <is>
          <t>Team 1</t>
        </is>
      </c>
      <c r="C66" t="n">
        <v>10</v>
      </c>
      <c r="D66">
        <f>HYPERLINK("https://www.google.com/maps/dir/12.184,75.928/12.123584,75.937489/12.106124,75.916725/12.114382,75.926991/12.121838,75.933634/12.121242,75.938462/12.110584,75.931715/12.110623,75.932426/12.135139,75.943755/12.138269,75.944099/12.142993,75.941062/12.184,75.928", "Open Route")</f>
        <v/>
      </c>
    </row>
    <row r="67">
      <c r="A67" t="n">
        <v>28</v>
      </c>
      <c r="B67" t="inlineStr">
        <is>
          <t>Team 2</t>
        </is>
      </c>
      <c r="C67" t="n">
        <v>9</v>
      </c>
      <c r="D67">
        <f>HYPERLINK("https://www.google.com/maps/dir/12.184,75.928/12.162929,75.920861/12.138051,75.91027/12.138807,75.912421/12.143317,75.917107/12.156144,75.901334/12.142147,75.905108/12.148761,75.913939/12.183712,75.892925/12.169806,75.894533/12.184,75.928", "Open Route")</f>
        <v/>
      </c>
    </row>
    <row r="68">
      <c r="A68" t="n">
        <v>28</v>
      </c>
      <c r="B68" t="inlineStr">
        <is>
          <t>Team 3</t>
        </is>
      </c>
      <c r="C68" t="n">
        <v>10</v>
      </c>
      <c r="D68">
        <f>HYPERLINK("https://www.google.com/maps/dir/12.184,75.928/12.237011,75.664875/12.242552,75.661616/12.238192,75.661461/12.245053,75.652266/12.244327,75.663333/12.244595,75.654862/12.241131,75.659366/12.257691,75.653455/12.260744,75.657995/12.244595,75.654401/12.184,75.928", "Open Route")</f>
        <v/>
      </c>
    </row>
    <row r="69">
      <c r="A69" t="n">
        <v>29</v>
      </c>
      <c r="B69" t="inlineStr">
        <is>
          <t>Team 1</t>
        </is>
      </c>
      <c r="C69" t="n">
        <v>2</v>
      </c>
      <c r="D69">
        <f>HYPERLINK("https://www.google.com/maps/dir/12.184,75.928/12.6303948,75.8097012/12.65148,75.79527/12.184,75.928", "Open Route")</f>
        <v/>
      </c>
    </row>
    <row r="70">
      <c r="A70" t="n">
        <v>29</v>
      </c>
      <c r="B70" t="inlineStr">
        <is>
          <t>Team 2</t>
        </is>
      </c>
      <c r="C70" t="n">
        <v>10</v>
      </c>
      <c r="D70">
        <f>HYPERLINK("https://www.google.com/maps/dir/12.184,75.928/12.1164795,75.8991732/12.11633,75.89869/12.114224,75.900645/12.115943,75.89792/12.113378,75.898662/12.115796,75.897726/12.1139881,75.9007078/12.116292,75.898481/12.116264,75.89908/12.114005,75.901407/12.184,75.928", "Open Route")</f>
        <v/>
      </c>
    </row>
    <row r="71">
      <c r="A71" t="n">
        <v>30</v>
      </c>
      <c r="B71" t="inlineStr">
        <is>
          <t>Team 1</t>
        </is>
      </c>
      <c r="C71" t="n">
        <v>10</v>
      </c>
      <c r="D71">
        <f>HYPERLINK("https://www.google.com/maps/dir/12.184,75.928/12.316941,75.773741/12.33185,75.78701/12.33179,75.78711/12.33241,75.78565/12.316775,75.763726/12.316614,75.763276/12.314419,75.766151/12.310335,75.771851/12.309661,75.771174/12.312591,75.765893/12.184,75.928", "Open Route")</f>
        <v/>
      </c>
    </row>
    <row r="72">
      <c r="A72" t="n">
        <v>30</v>
      </c>
      <c r="B72" t="inlineStr">
        <is>
          <t>Team 2</t>
        </is>
      </c>
      <c r="C72" t="n">
        <v>9</v>
      </c>
      <c r="D72">
        <f>HYPERLINK("https://www.google.com/maps/dir/12.184,75.928/12.269947,75.877759/12.267631,75.878561/12.271148,75.873583/12.269141,75.878383/12.271805,75.877898/12.266761,75.878691/12.26824,75.8757/12.26472,75.875/12.266041,75.875361/12.184,75.928", "Open Route")</f>
        <v/>
      </c>
    </row>
    <row r="73">
      <c r="A73" t="n">
        <v>30</v>
      </c>
      <c r="B73" t="inlineStr">
        <is>
          <t>Team 3</t>
        </is>
      </c>
      <c r="C73" t="n">
        <v>10</v>
      </c>
      <c r="D73">
        <f>HYPERLINK("https://www.google.com/maps/dir/12.184,75.928/12.103592,75.991936/12.106289,75.999125/12.1073591,75.9926643/12.105822,75.998025/12.106077,75.996211/12.104951,76.007311/12.098931,76.01326/12.094598,76.002438/12.095874,76.003932/12.095951,76.002605/12.184,75.928", "Open Route")</f>
        <v/>
      </c>
    </row>
    <row r="74">
      <c r="A74" t="n">
        <v>31</v>
      </c>
      <c r="B74" t="inlineStr">
        <is>
          <t>Team 2</t>
        </is>
      </c>
      <c r="C74" t="n">
        <v>10</v>
      </c>
      <c r="D74">
        <f>HYPERLINK("https://www.google.com/maps/dir/12.184,75.928/12.249714,75.875952/12.249623,75.875832/12.26556,75.88133/12.264311,75.872461/12.264421,75.871351/12.266041,75.875361/12.263273,75.881816/12.280745,75.859801/12.284868,75.865637/12.249341,75.875708/12.184,75.928", "Open Route")</f>
        <v/>
      </c>
    </row>
    <row r="75">
      <c r="A75" t="n">
        <v>32</v>
      </c>
      <c r="B75" t="inlineStr">
        <is>
          <t>Team 1</t>
        </is>
      </c>
      <c r="C75" t="n">
        <v>10</v>
      </c>
      <c r="D75">
        <f>HYPERLINK("https://www.google.com/maps/dir/12.184,75.928/12.491485,75.855712/12.48993,75.85732/12.492131,75.855431/12.492727,75.856632/12.4928419,75.8565868/12.49128,75.856087/12.49143,75.856289/12.48424,75.84684/12.48932,75.84393/12.490289,75.843934/12.184,75.928", "Open Route")</f>
        <v/>
      </c>
    </row>
    <row r="76">
      <c r="A76" t="n">
        <v>32</v>
      </c>
      <c r="B76" t="inlineStr">
        <is>
          <t>Team 2</t>
        </is>
      </c>
      <c r="C76" t="n">
        <v>10</v>
      </c>
      <c r="D76">
        <f>HYPERLINK("https://www.google.com/maps/dir/12.184,75.928/12.012131,75.974476/12.01256,75.974458/12.011831,75.970128/12.007724,75.967788/12.004951,75.961026/12.007194,75.961803/12.008021,75.961314/12.008104,75.966286/12.012533,75.964802/12.030801,75.958627/12.184,75.928", "Open Route")</f>
        <v/>
      </c>
    </row>
    <row r="77">
      <c r="A77" t="n">
        <v>32</v>
      </c>
      <c r="B77" t="inlineStr">
        <is>
          <t>Team 3</t>
        </is>
      </c>
      <c r="C77" t="n">
        <v>4</v>
      </c>
      <c r="D77">
        <f>HYPERLINK("https://www.google.com/maps/dir/12.184,75.928/12.5987712,75.8501913/12.6065749,75.8651363/12.625255,75.859651/12.6040417,75.9192063/12.184,75.928", "Open Route")</f>
        <v/>
      </c>
    </row>
    <row r="78">
      <c r="A78" t="n">
        <v>33</v>
      </c>
      <c r="B78" t="inlineStr">
        <is>
          <t>Team 1</t>
        </is>
      </c>
      <c r="C78" t="n">
        <v>10</v>
      </c>
      <c r="D78">
        <f>HYPERLINK("https://www.google.com/maps/dir/12.184,75.928/12.117007,75.919236/12.113941,75.926268/12.114244,75.920182/12.117724,75.917472/12.116127,75.917808/12.119236,75.919281/12.117723,75.917472/12.117574,75.914568/12.122465,75.914377/12.124242,75.915215/12.184,75.928", "Open Route")</f>
        <v/>
      </c>
    </row>
    <row r="79">
      <c r="A79" t="n">
        <v>33</v>
      </c>
      <c r="B79" t="inlineStr">
        <is>
          <t>Team 2</t>
        </is>
      </c>
      <c r="C79" t="n">
        <v>10</v>
      </c>
      <c r="D79">
        <f>HYPERLINK("https://www.google.com/maps/dir/12.184,75.928/12.366511,75.658422/12.35676,75.65735/12.361035,75.559237/12.377413,75.550165/12.356159,75.650119/12.354215,75.65748/12.361933,75.647861/12.3540038,75.6575897/12.365912,75.654378/12.362335,75.647339/12.184,75.928", "Open Route")</f>
        <v/>
      </c>
    </row>
    <row r="80">
      <c r="A80" t="n">
        <v>33</v>
      </c>
      <c r="B80" t="inlineStr">
        <is>
          <t>Team 3</t>
        </is>
      </c>
      <c r="C80" t="n">
        <v>10</v>
      </c>
      <c r="D80">
        <f>HYPERLINK("https://www.google.com/maps/dir/12.184,75.928/12.0433549,75.89555/12.040991,75.895091/12.043549,75.895501/12.042753,75.895617/12.04069,75.89244/12.044915,75.890736/12.046821,75.894371/12.047152,75.895503/12.046571,75.893908/12.046591,75.893871/12.184,75.928", "Open Route")</f>
        <v/>
      </c>
    </row>
    <row r="81">
      <c r="A81" t="n">
        <v>34</v>
      </c>
      <c r="B81" t="inlineStr">
        <is>
          <t>Team 1</t>
        </is>
      </c>
      <c r="C81" t="n">
        <v>6</v>
      </c>
      <c r="D81">
        <f>HYPERLINK("https://www.google.com/maps/dir/12.184,75.928/12.355304,75.702308/12.361483,75.698629/12.359955,75.70618/12.371056,75.693704/12.358427,75.708275/12.366483,75.711853/12.184,75.928", "Open Route")</f>
        <v/>
      </c>
    </row>
    <row r="82">
      <c r="A82" t="n">
        <v>34</v>
      </c>
      <c r="B82" t="inlineStr">
        <is>
          <t>Team 2</t>
        </is>
      </c>
      <c r="C82" t="n">
        <v>10</v>
      </c>
      <c r="D82">
        <f>HYPERLINK("https://www.google.com/maps/dir/12.184,75.928/12.236061,75.915322/12.2363525,75.9042617/12.255038,75.914984/12.30225,75.89424/12.311009,75.8719/12.28917,75.87962/12.261023,75.88556/12.259317,75.869215/12.22821,75.89783/12.229911,75.890151/12.184,75.928", "Open Route")</f>
        <v/>
      </c>
    </row>
    <row r="83">
      <c r="A83" t="n">
        <v>34</v>
      </c>
      <c r="B83" t="inlineStr">
        <is>
          <t>Team 3</t>
        </is>
      </c>
      <c r="C83" t="n">
        <v>6</v>
      </c>
      <c r="D83">
        <f>HYPERLINK("https://www.google.com/maps/dir/12.184,75.928/12.08318,76.029521/12.08449,76.028231/12.093234,76.028421/12.089958,76.026561/12.082218,76.026385/12.09107,76.033091/12.184,75.928", "Open Route")</f>
        <v/>
      </c>
    </row>
    <row r="84">
      <c r="A84" t="n">
        <v>35</v>
      </c>
      <c r="B84" t="inlineStr">
        <is>
          <t>Team 1</t>
        </is>
      </c>
      <c r="C84" t="n">
        <v>9</v>
      </c>
      <c r="D84">
        <f>HYPERLINK("https://www.google.com/maps/dir/12.184,75.928/12.004571,75.972113/11.997827,75.970748/12.0004081,75.9746381/12.0008822,75.9748367/11.994111,75.968278/11.994254,75.969567/11.994397,75.969519/11.994811,75.969092/12.018206,75.968521/12.184,75.928", "Open Route")</f>
        <v/>
      </c>
    </row>
    <row r="85">
      <c r="A85" t="n">
        <v>35</v>
      </c>
      <c r="B85" t="inlineStr">
        <is>
          <t>Team 3</t>
        </is>
      </c>
      <c r="C85" t="n">
        <v>10</v>
      </c>
      <c r="D85">
        <f>HYPERLINK("https://www.google.com/maps/dir/12.184,75.928/12.332205,75.803947/12.3455,75.7965/12.34494,75.79845/12.34519,75.79586/12.3515975,75.7919972/12.351743,75.791668/12.351436,75.792972/12.34221,75.79691/12.34198,75.794697/12.341105,75.798125/12.184,75.928", "Open Route")</f>
        <v/>
      </c>
    </row>
    <row r="86">
      <c r="A86" t="n">
        <v>36</v>
      </c>
      <c r="B86" t="inlineStr">
        <is>
          <t>Team 3</t>
        </is>
      </c>
      <c r="C86" t="n">
        <v>10</v>
      </c>
      <c r="D86">
        <f>HYPERLINK("https://www.google.com/maps/dir/12.184,75.928/12.467474,75.829576/12.4690803,75.8311219/12.493799,75.835784/12.485949,75.835123/12.470505,75.834412/12.4882127,75.833661/12.486025,75.824623/12.477816,75.832313/12.470451,75.811073/12.477017,75.848841/12.184,75.928", "Open Route")</f>
        <v/>
      </c>
    </row>
    <row r="87">
      <c r="A87" t="n">
        <v>37</v>
      </c>
      <c r="B87" t="inlineStr">
        <is>
          <t>Team 1</t>
        </is>
      </c>
      <c r="C87" t="n">
        <v>9</v>
      </c>
      <c r="D87">
        <f>HYPERLINK("https://www.google.com/maps/dir/12.184,75.928/12.499775,75.722935/12.506732,75.707105/12.517153,75.703745/12.515891,75.704521/12.5063841,75.7078851/12.498876,75.706893/12.498835,75.706555/12.501482,75.709671/12.499202,75.706657/12.184,75.928", "Open Route")</f>
        <v/>
      </c>
    </row>
    <row r="88">
      <c r="A88" t="n">
        <v>37</v>
      </c>
      <c r="B88" t="inlineStr">
        <is>
          <t>Team 3</t>
        </is>
      </c>
      <c r="C88" t="n">
        <v>10</v>
      </c>
      <c r="D88">
        <f>HYPERLINK("https://www.google.com/maps/dir/12.184,75.928/12.038216,76.009417/12.034792,76.006284/12.034459,76.008549/12.032437,76.010585/12.031321,76.008137/12.027897,75.993102/12.032243,76.002117/12.030461,76.004661/12.031364,76.003306/12.029402,76.005041/12.184,75.928", "Open Route")</f>
        <v/>
      </c>
    </row>
    <row r="89">
      <c r="A89" t="n">
        <v>38</v>
      </c>
      <c r="B89" t="inlineStr">
        <is>
          <t>Team 1</t>
        </is>
      </c>
      <c r="C89" t="n">
        <v>10</v>
      </c>
      <c r="D89">
        <f>HYPERLINK("https://www.google.com/maps/dir/12.184,75.928/12.306756,75.827569/12.306759,75.828137/12.316348,75.817926/12.34054,75.80533/12.31194,75.83194/12.31295,75.83569/12.284929,75.860072/12.3103,75.8358/12.306573,75.833888/12.3096567,75.8423034/12.184,75.928", "Open Route")</f>
        <v/>
      </c>
    </row>
    <row r="90">
      <c r="A90" t="n">
        <v>38</v>
      </c>
      <c r="B90" t="inlineStr">
        <is>
          <t>Team 2</t>
        </is>
      </c>
      <c r="C90" t="n">
        <v>10</v>
      </c>
      <c r="D90">
        <f>HYPERLINK("https://www.google.com/maps/dir/12.184,75.928/12.082552,76.006264/12.064631,76.006337/12.061376,76.005602/12.057171,76.027872/12.05745,76.039411/12.047878,76.005255/12.037532,76.013074/12.035145,75.997345/12.0309675,75.9862093/12.070059,75.998481/12.184,75.928", "Open Route")</f>
        <v/>
      </c>
    </row>
    <row r="91">
      <c r="A91" t="n">
        <v>38</v>
      </c>
      <c r="B91" t="inlineStr">
        <is>
          <t>Team 3</t>
        </is>
      </c>
      <c r="C91" t="n">
        <v>10</v>
      </c>
      <c r="D91">
        <f>HYPERLINK("https://www.google.com/maps/dir/12.184,75.928/12.290933,75.821832/12.293279,75.819355/12.296114,75.818976/12.290846,75.818961/12.3148,75.80449/12.327622,75.811272/12.329662,75.812503/12.3276,75.79564/12.326261,75.796311/12.311572,75.838301/12.184,75.928", "Open Route")</f>
        <v/>
      </c>
    </row>
    <row r="92">
      <c r="A92" t="n">
        <v>39</v>
      </c>
      <c r="B92" t="inlineStr">
        <is>
          <t>Team 1</t>
        </is>
      </c>
      <c r="C92" t="n">
        <v>10</v>
      </c>
      <c r="D92">
        <f>HYPERLINK("https://www.google.com/maps/dir/12.184,75.928/12.12644,75.919608/12.125848,75.918241/12.125734,75.918225/12.125943,75.918156/12.126799,75.919068/12.12306,75.91965/12.124476,75.916646/12.12474,75.915834/12.127889,75.918561/12.124441,75.915419/12.184,75.928", "Open Route")</f>
        <v/>
      </c>
    </row>
    <row r="93">
      <c r="A93" t="n">
        <v>39</v>
      </c>
      <c r="B93" t="inlineStr">
        <is>
          <t>Team 3</t>
        </is>
      </c>
      <c r="C93" t="n">
        <v>10</v>
      </c>
      <c r="D93">
        <f>HYPERLINK("https://www.google.com/maps/dir/12.184,75.928/12.007682,75.885245/12.008439,75.883347/12.008182,75.884429/12.008599,75.883093/12.011387,75.883645/12.008877,75.879333/12.012043,75.874466/12.018121,75.875887/12.020591,75.887041/12.034007,75.879225/12.184,75.928", "Open Route")</f>
        <v/>
      </c>
    </row>
    <row r="94">
      <c r="A94" t="n">
        <v>40</v>
      </c>
      <c r="B94" t="inlineStr">
        <is>
          <t>Team 1</t>
        </is>
      </c>
      <c r="C94" t="n">
        <v>10</v>
      </c>
      <c r="D94">
        <f>HYPERLINK("https://www.google.com/maps/dir/12.184,75.928/12.023351,75.945191/12.031097,75.958878/12.034709,75.962008/12.037061,75.955026/12.026091,75.945187/12.029608,75.952536/12.031455,75.949278/12.029498,75.945715/12.029683,75.952475/12.027176,75.944301/12.184,75.928", "Open Route")</f>
        <v/>
      </c>
    </row>
    <row r="95">
      <c r="A95" t="n">
        <v>40</v>
      </c>
      <c r="B95" t="inlineStr">
        <is>
          <t>Team 2</t>
        </is>
      </c>
      <c r="C95" t="n">
        <v>4</v>
      </c>
      <c r="D95">
        <f>HYPERLINK("https://www.google.com/maps/dir/12.184,75.928/12.495948,75.815178/12.497298,75.811484/12.494295,75.813526/12.493875,75.81303/12.184,75.928", "Open Route")</f>
        <v/>
      </c>
    </row>
    <row r="96">
      <c r="A96" t="n">
        <v>40</v>
      </c>
      <c r="B96" t="inlineStr">
        <is>
          <t>Team 3</t>
        </is>
      </c>
      <c r="C96" t="n">
        <v>10</v>
      </c>
      <c r="D96">
        <f>HYPERLINK("https://www.google.com/maps/dir/12.184,75.928/12.333794,75.82001/12.332496,75.821934/12.331575,75.824457/12.3351498,75.8142894/12.344797,75.803811/12.33996,75.8027/12.33962,75.79521/12.347427,75.801139/12.3336,75.78936/12.331676,75.80673/12.184,75.928", "Open Route")</f>
        <v/>
      </c>
    </row>
    <row r="97">
      <c r="A97" t="n">
        <v>41</v>
      </c>
      <c r="B97" t="inlineStr">
        <is>
          <t>Team 2</t>
        </is>
      </c>
      <c r="C97" t="n">
        <v>10</v>
      </c>
      <c r="D97">
        <f>HYPERLINK("https://www.google.com/maps/dir/12.184,75.928/12.151689,75.943946/12.150829,75.936721/12.14706,75.94574/12.145697,75.948761/12.145653,75.948319/12.143781,75.944224/12.144421,75.944344/12.139941,75.946851/12.135138,75.943755/12.157073,75.940452/12.184,75.928", "Open Route")</f>
        <v/>
      </c>
    </row>
    <row r="98">
      <c r="A98" t="n">
        <v>41</v>
      </c>
      <c r="B98" t="inlineStr">
        <is>
          <t>Team 3</t>
        </is>
      </c>
      <c r="C98" t="n">
        <v>10</v>
      </c>
      <c r="D98">
        <f>HYPERLINK("https://www.google.com/maps/dir/12.184,75.928/12.39596,75.537831/12.395305,75.537112/12.394318,75.538465/12.386628,75.535703/12.386584,75.535669/12.386647,75.535614/12.386625,75.535694/12.386526,75.535698/12.386492,75.53562/12.386607,75.535632/12.184,75.928", "Open Route")</f>
        <v/>
      </c>
    </row>
    <row r="99">
      <c r="A99" t="n">
        <v>42</v>
      </c>
      <c r="B99" t="inlineStr">
        <is>
          <t>Team 1</t>
        </is>
      </c>
      <c r="C99" t="n">
        <v>8</v>
      </c>
      <c r="D99">
        <f>HYPERLINK("https://www.google.com/maps/dir/12.184,75.928/12.156441,76.016031/12.143933,76.031829/12.145294,76.030912/12.146821,76.016743/12.128306,76.013358/12.1263161,76.0112929/12.125329,76.012181/12.140259,76.016027/12.184,75.928", "Open Route")</f>
        <v/>
      </c>
    </row>
    <row r="100">
      <c r="A100" t="n">
        <v>42</v>
      </c>
      <c r="B100" t="inlineStr">
        <is>
          <t>Team 2</t>
        </is>
      </c>
      <c r="C100" t="n">
        <v>10</v>
      </c>
      <c r="D100">
        <f>HYPERLINK("https://www.google.com/maps/dir/12.184,75.928/12.33105,75.83272/12.3269,75.83297/12.32695,75.83406/12.320355,75.833113/12.324861,75.839839/12.319747,75.833006/12.330348,75.832679/12.339403,75.806715/12.33999,75.80375/12.33019,75.80736/12.184,75.928", "Open Route")</f>
        <v/>
      </c>
    </row>
    <row r="101">
      <c r="A101" t="n">
        <v>42</v>
      </c>
      <c r="B101" t="inlineStr">
        <is>
          <t>Team 3</t>
        </is>
      </c>
      <c r="C101" t="n">
        <v>9</v>
      </c>
      <c r="D101">
        <f>HYPERLINK("https://www.google.com/maps/dir/12.184,75.928/12.20851,75.94334/12.20645,75.94175/12.20454,75.94168/12.1922138,75.93992293/12.20755,75.938896/12.20377,75.93533/12.192472,75.927719/12.200671,75.937291/12.194425,75.931626/12.184,75.928", "Open Route")</f>
        <v/>
      </c>
    </row>
    <row r="102">
      <c r="A102" t="n">
        <v>43</v>
      </c>
      <c r="B102" t="inlineStr">
        <is>
          <t>Team 1</t>
        </is>
      </c>
      <c r="C102" t="n">
        <v>9</v>
      </c>
      <c r="D102">
        <f>HYPERLINK("https://www.google.com/maps/dir/12.184,75.928/12.275495,75.917984/12.277912,75.915271/12.275991,75.915365/12.276771,75.916291/12.306098,75.942515/12.2865097,75.948661/12.30704,75.94869/12.297077,75.948093/12.30706,75.94867/12.184,75.928", "Open Route")</f>
        <v/>
      </c>
    </row>
    <row r="103">
      <c r="A103" t="n">
        <v>43</v>
      </c>
      <c r="B103" t="inlineStr">
        <is>
          <t>Team 2</t>
        </is>
      </c>
      <c r="C103" t="n">
        <v>10</v>
      </c>
      <c r="D103">
        <f>HYPERLINK("https://www.google.com/maps/dir/12.184,75.928/12.309074,75.966285/12.308263,75.966307/12.308231,75.965788/12.301821,75.958301/12.30914,75.96542/12.30573,75.96635/12.308873,75.965189/12.30732,75.96544/12.30572,75.95885/12.307889,75.965633/12.184,75.928", "Open Route")</f>
        <v/>
      </c>
    </row>
    <row r="104">
      <c r="A104" t="n">
        <v>43</v>
      </c>
      <c r="B104" t="inlineStr">
        <is>
          <t>Team 3</t>
        </is>
      </c>
      <c r="C104" t="n">
        <v>3</v>
      </c>
      <c r="D104">
        <f>HYPERLINK("https://www.google.com/maps/dir/12.184,75.928/12.203462,76.027484/12.200585,76.007597/12.223753,76.015425/12.184,75.928", "Open Route")</f>
        <v/>
      </c>
    </row>
    <row r="105">
      <c r="A105" t="n">
        <v>44</v>
      </c>
      <c r="B105" t="inlineStr">
        <is>
          <t>Team 1</t>
        </is>
      </c>
      <c r="C105" t="n">
        <v>10</v>
      </c>
      <c r="D105">
        <f>HYPERLINK("https://www.google.com/maps/dir/12.184,75.928/12.387889,75.536135/12.388839,75.537109/12.38582,75.534467/12.372263,75.541386/12.371452,75.541675/12.37357,75.537788/12.372757,75.539667/12.373811,75.541004/12.370989,75.539519/12.369091,75.548234/12.184,75.928", "Open Route")</f>
        <v/>
      </c>
    </row>
    <row r="106">
      <c r="A106" t="n">
        <v>44</v>
      </c>
      <c r="B106" t="inlineStr">
        <is>
          <t>Team 2</t>
        </is>
      </c>
      <c r="C106" t="n">
        <v>10</v>
      </c>
      <c r="D106">
        <f>HYPERLINK("https://www.google.com/maps/dir/12.184,75.928/12.138664,75.919138/12.132261,75.92156/12.135038,75.919113/12.132601,75.92073/12.1348916,75.9197705/12.132601,75.920731/12.130329,75.918561/12.132607,75.92219/12.13825,75.91968/12.138083,75.9195/12.184,75.928", "Open Route")</f>
        <v/>
      </c>
    </row>
    <row r="107">
      <c r="A107" t="n">
        <v>44</v>
      </c>
      <c r="B107" t="inlineStr">
        <is>
          <t>Team 3</t>
        </is>
      </c>
      <c r="C107" t="n">
        <v>10</v>
      </c>
      <c r="D107">
        <f>HYPERLINK("https://www.google.com/maps/dir/12.184,75.928/12.32406,75.95726/12.313795,75.939842/12.313849,75.939871/12.32398,75.95631/12.3057403,75.9500356/12.30605,75.94993/12.3063718,75.9590251/12.305732,75.949904/12.30613,75.95894/12.302841,75.951603/12.184,75.928", "Open Route")</f>
        <v/>
      </c>
    </row>
    <row r="108">
      <c r="A108" t="n">
        <v>45</v>
      </c>
      <c r="B108" t="inlineStr">
        <is>
          <t>Team 1</t>
        </is>
      </c>
      <c r="C108" t="n">
        <v>10</v>
      </c>
      <c r="D108">
        <f>HYPERLINK("https://www.google.com/maps/dir/12.184,75.928/12.100853,75.889891/12.095853,75.886333/12.095854,75.886333/12.101018,75.890069/12.095855,75.886333/12.095852,75.886333/12.096274,75.886034/12.095851,75.886333/12.093384,75.88542/12.113189,75.884898/12.184,75.928", "Open Route")</f>
        <v/>
      </c>
    </row>
    <row r="109">
      <c r="A109" t="n">
        <v>45</v>
      </c>
      <c r="B109" t="inlineStr">
        <is>
          <t>Team 3</t>
        </is>
      </c>
      <c r="C109" t="n">
        <v>10</v>
      </c>
      <c r="D109">
        <f>HYPERLINK("https://www.google.com/maps/dir/12.184,75.928/12.177177,75.981397/12.203455,75.991123/12.196015,75.988671/12.197477,75.987155/12.191866,75.992335/12.203819,75.991374/12.199771,75.986004/12.20036,75.98289/12.192142,75.997104/12.197771,75.985042/12.184,75.928", "Open Route")</f>
        <v/>
      </c>
    </row>
    <row r="110">
      <c r="A110" t="n">
        <v>46</v>
      </c>
      <c r="B110" t="inlineStr">
        <is>
          <t>Team 2</t>
        </is>
      </c>
      <c r="C110" t="n">
        <v>10</v>
      </c>
      <c r="D110">
        <f>HYPERLINK("https://www.google.com/maps/dir/12.184,75.928/12.129554,75.83856/12.1255746,75.8422051/12.12635,75.84281/12.126591,75.841241/12.125619,75.843141/12.125814,75.843165/12.12573,75.842767/12.126204,75.843165/12.127323,75.843351/12.12562,75.84161/12.184,75.928", "Open Route")</f>
        <v/>
      </c>
    </row>
    <row r="111">
      <c r="A111" t="n">
        <v>47</v>
      </c>
      <c r="B111" t="inlineStr">
        <is>
          <t>Team 1</t>
        </is>
      </c>
      <c r="C111" t="n">
        <v>10</v>
      </c>
      <c r="D111">
        <f>HYPERLINK("https://www.google.com/maps/dir/12.184,75.928/12.057313,75.924048/12.060852,75.922127/12.062175,75.921833/12.058947,75.924391/12.058501,75.923897/12.059679,75.921078/12.062145,75.926023/12.059499,75.923055/12.057461,75.924086/12.062951,75.921019/12.184,75.928", "Open Route")</f>
        <v/>
      </c>
    </row>
    <row r="112">
      <c r="A112" t="n">
        <v>47</v>
      </c>
      <c r="B112" t="inlineStr">
        <is>
          <t>Team 2</t>
        </is>
      </c>
      <c r="C112" t="n">
        <v>10</v>
      </c>
      <c r="D112">
        <f>HYPERLINK("https://www.google.com/maps/dir/12.184,75.928/12.272385,75.668583/12.266271,75.668801/12.275391,75.664385/12.272082,75.666811/12.269759,75.651551/12.2858122,75.6711736/12.279187,75.675679/12.279133,75.675713/12.276598,75.675813/12.278755,75.673732/12.184,75.928", "Open Route")</f>
        <v/>
      </c>
    </row>
    <row r="113">
      <c r="A113" t="n">
        <v>47</v>
      </c>
      <c r="B113" t="inlineStr">
        <is>
          <t>Team 3</t>
        </is>
      </c>
      <c r="C113" t="n">
        <v>10</v>
      </c>
      <c r="D113">
        <f>HYPERLINK("https://www.google.com/maps/dir/12.184,75.928/12.287498,75.865438/12.278618,75.869049/12.29479,75.861821/12.291091,75.862701/12.295473,75.8664/12.29427,75.86703/12.29491,75.86566/12.29496,75.86592/12.278763,75.868838/12.278761,75.868838/12.184,75.928", "Open Route")</f>
        <v/>
      </c>
    </row>
    <row r="114">
      <c r="A114" t="n">
        <v>48</v>
      </c>
      <c r="B114" t="inlineStr">
        <is>
          <t>Team 2</t>
        </is>
      </c>
      <c r="C114" t="n">
        <v>10</v>
      </c>
      <c r="D114">
        <f>HYPERLINK("https://www.google.com/maps/dir/12.184,75.928/12.386538,75.535714/12.386595,75.535766/12.386552,75.535848/12.385824,75.537376/12.386576,75.535728/12.386531,75.535888/12.386551,75.535788/12.386578,75.536993/12.386557,75.535852/12.386626,75.53573/12.184,75.928", "Open Route")</f>
        <v/>
      </c>
    </row>
    <row r="115">
      <c r="A115" t="n">
        <v>48</v>
      </c>
      <c r="B115" t="inlineStr">
        <is>
          <t>Team 3</t>
        </is>
      </c>
      <c r="C115" t="n">
        <v>7</v>
      </c>
      <c r="D115">
        <f>HYPERLINK("https://www.google.com/maps/dir/12.184,75.928/12.0989767,76.0681288/12.1020935,76.06198238/12.0992953,76.06038532/12.116985,76.068405/12.1007873,76.069244/12.119837,76.066768/12.124778,76.071417/12.184,75.928", "Open Route")</f>
        <v/>
      </c>
    </row>
    <row r="116">
      <c r="A116" t="n">
        <v>49</v>
      </c>
      <c r="B116" t="inlineStr">
        <is>
          <t>Team 1</t>
        </is>
      </c>
      <c r="C116" t="n">
        <v>10</v>
      </c>
      <c r="D116">
        <f>HYPERLINK("https://www.google.com/maps/dir/12.184,75.928/12.153358,75.931989/12.159065,75.940963/12.163559,75.953727/12.165238,75.953727/12.164031,75.953555/12.177285,75.942324/12.175232,75.944966/12.171331,75.944496/12.172301,75.944651/12.171919,75.9414787/12.184,75.928", "Open Route")</f>
        <v/>
      </c>
    </row>
    <row r="117">
      <c r="A117" t="n">
        <v>49</v>
      </c>
      <c r="B117" t="inlineStr">
        <is>
          <t>Team 2</t>
        </is>
      </c>
      <c r="C117" t="n">
        <v>9</v>
      </c>
      <c r="D117">
        <f>HYPERLINK("https://www.google.com/maps/dir/12.184,75.928/12.252938,75.823651/12.279553,75.811544/12.294914,75.830565/12.2630085,75.8272374/12.271981,75.813174/12.269589,75.806311/12.327152,75.82368/12.322516,75.821475/12.307723,75.864964/12.184,75.928", "Open Route")</f>
        <v/>
      </c>
    </row>
    <row r="118">
      <c r="A118" t="n">
        <v>49</v>
      </c>
      <c r="B118" t="inlineStr">
        <is>
          <t>Team 3</t>
        </is>
      </c>
      <c r="C118" t="n">
        <v>10</v>
      </c>
      <c r="D118">
        <f>HYPERLINK("https://www.google.com/maps/dir/12.184,75.928/12.31337,75.97152/12.30909,75.97602/12.30494,75.97009/12.326343,76.013755/12.329078,76.014483/12.3340836,76.0132406/12.329591,76.017156/12.330669,76.016178/12.31809,75.97778/12.32988,76.016/12.184,75.928", "Open Route")</f>
        <v/>
      </c>
    </row>
    <row r="119">
      <c r="A119" t="n">
        <v>50</v>
      </c>
      <c r="B119" t="inlineStr">
        <is>
          <t>Team 1</t>
        </is>
      </c>
      <c r="C119" t="n">
        <v>10</v>
      </c>
      <c r="D119">
        <f>HYPERLINK("https://www.google.com/maps/dir/12.184,75.928/12.163302,75.962394/12.163934,75.961763/12.164865,75.957791/12.167061,75.957134/12.163345,75.962427/12.162131,75.963637/12.166352,75.958443/12.165812,75.958555/12.164715,75.963017/12.166435,75.95843/12.184,75.928", "Open Route")</f>
        <v/>
      </c>
    </row>
    <row r="120">
      <c r="A120" t="n">
        <v>50</v>
      </c>
      <c r="B120" t="inlineStr">
        <is>
          <t>Team 2</t>
        </is>
      </c>
      <c r="C120" t="n">
        <v>10</v>
      </c>
      <c r="D120">
        <f>HYPERLINK("https://www.google.com/maps/dir/12.184,75.928/12.025649,75.89525/12.03,75.896582/12.031157,75.89861/12.028253,75.895435/12.026456,75.893019/12.030288,75.900263/12.029585,75.88904/12.027214,75.889306/12.029907,75.89678/12.041368,75.890419/12.184,75.928", "Open Route")</f>
        <v/>
      </c>
    </row>
    <row r="121">
      <c r="A121" t="n">
        <v>50</v>
      </c>
      <c r="B121" t="inlineStr">
        <is>
          <t>Team 3</t>
        </is>
      </c>
      <c r="C121" t="n">
        <v>6</v>
      </c>
      <c r="D121">
        <f>HYPERLINK("https://www.google.com/maps/dir/12.184,75.928/12.513835,75.751928/12.515203,75.750306/12.515121,75.750645/12.514766,75.750245/12.51571,75.7504436/12.5236035,75.7405932/12.184,75.928", "Open Route")</f>
        <v/>
      </c>
    </row>
    <row r="122">
      <c r="A122" t="n">
        <v>51</v>
      </c>
      <c r="B122" t="inlineStr">
        <is>
          <t>Team 1</t>
        </is>
      </c>
      <c r="C122" t="n">
        <v>10</v>
      </c>
      <c r="D122">
        <f>HYPERLINK("https://www.google.com/maps/dir/12.184,75.928/11.974168,75.987876/11.975701,75.987757/11.977419,75.988103/11.986151,75.994032/11.972951,75.989037/11.974837,75.987718/11.978015,75.987883/11.978344,75.987387/11.984904,75.988873/11.9753843,75.986772/12.184,75.928", "Open Route")</f>
        <v/>
      </c>
    </row>
    <row r="123">
      <c r="A123" t="n">
        <v>51</v>
      </c>
      <c r="B123" t="inlineStr">
        <is>
          <t>Team 2</t>
        </is>
      </c>
      <c r="C123" t="n">
        <v>10</v>
      </c>
      <c r="D123">
        <f>HYPERLINK("https://www.google.com/maps/dir/12.184,75.928/12.403894,75.870912/12.403748,75.871129/12.404605,75.870778/12.40192,75.86903/12.40075,75.86598/12.402602,75.868801/12.402382,75.868683/12.398516,75.869917/12.4043,75.8683/12.40562,75.8645/12.184,75.928", "Open Route")</f>
        <v/>
      </c>
    </row>
    <row r="124">
      <c r="A124" t="n">
        <v>52</v>
      </c>
      <c r="B124" t="inlineStr">
        <is>
          <t>Team 1</t>
        </is>
      </c>
      <c r="C124" t="n">
        <v>10</v>
      </c>
      <c r="D124">
        <f>HYPERLINK("https://www.google.com/maps/dir/12.184,75.928/12.207841,75.919682/12.202104,75.924096/12.206694,75.919194/12.201205,75.921866/12.201243,75.921409/12.206848,75.920485/12.201745,75.920761/12.203733,75.923101/12.203905,75.914211/12.196264,75.918238/12.184,75.928", "Open Route")</f>
        <v/>
      </c>
    </row>
    <row r="125">
      <c r="A125" t="n">
        <v>52</v>
      </c>
      <c r="B125" t="inlineStr">
        <is>
          <t>Team 2</t>
        </is>
      </c>
      <c r="C125" t="n">
        <v>10</v>
      </c>
      <c r="D125">
        <f>HYPERLINK("https://www.google.com/maps/dir/12.184,75.928/12.461748,75.863205/12.451157,75.88126/12.451012,75.871966/12.44113,75.86881/12.44123,75.86973/12.44073,75.86668/12.443222,75.870536/12.44443,75.87192/12.450826,75.871889/12.4493,75.87568/12.184,75.928", "Open Route")</f>
        <v/>
      </c>
    </row>
    <row r="126">
      <c r="A126" t="n">
        <v>52</v>
      </c>
      <c r="B126" t="inlineStr">
        <is>
          <t>Team 3</t>
        </is>
      </c>
      <c r="C126" t="n">
        <v>10</v>
      </c>
      <c r="D126">
        <f>HYPERLINK("https://www.google.com/maps/dir/12.184,75.928/12.358108,75.792282/12.360479,75.804071/12.35758,75.78955/12.35763,75.78955/12.37171,75.79816/12.37136,75.79821/12.3645,75.792806/12.36932,75.79512/12.35355,75.79661/12.34816,75.79841/12.184,75.928", "Open Route")</f>
        <v/>
      </c>
    </row>
    <row r="127">
      <c r="A127" t="n">
        <v>53</v>
      </c>
      <c r="B127" t="inlineStr">
        <is>
          <t>Team 1</t>
        </is>
      </c>
      <c r="C127" t="n">
        <v>10</v>
      </c>
      <c r="D127">
        <f>HYPERLINK("https://www.google.com/maps/dir/12.184,75.928/12.212767,75.912044/12.212636,75.915056/12.221844,75.906611/12.250615,75.864511/12.272462,75.845273/12.220788,75.884682/12.211851,75.898307/12.218368,75.883889/12.216421,75.890885/12.208977,75.904719/12.184,75.928", "Open Route")</f>
        <v/>
      </c>
    </row>
    <row r="128">
      <c r="A128" t="n">
        <v>53</v>
      </c>
      <c r="B128" t="inlineStr">
        <is>
          <t>Team 2</t>
        </is>
      </c>
      <c r="C128" t="n">
        <v>9</v>
      </c>
      <c r="D128">
        <f>HYPERLINK("https://www.google.com/maps/dir/12.184,75.928/12.029659,75.968511/12.022494,75.97545/12.014628,75.980812/12.017956,75.977901/12.017714,75.976828/12.021261,75.978442/12.015461,75.975099/12.016622,75.975669/12.020357,75.977649/12.184,75.928", "Open Route")</f>
        <v/>
      </c>
    </row>
    <row r="129">
      <c r="A129" t="n">
        <v>53</v>
      </c>
      <c r="B129" t="inlineStr">
        <is>
          <t>Team 3</t>
        </is>
      </c>
      <c r="C129" t="n">
        <v>7</v>
      </c>
      <c r="D129">
        <f>HYPERLINK("https://www.google.com/maps/dir/12.184,75.928/12.268653,75.966701/12.222731,75.967661/12.22576,75.9581/12.238529,75.978779/12.215329,75.987997/12.23163,75.991098/12.223061,76.001494/12.184,75.928", "Open Route")</f>
        <v/>
      </c>
    </row>
    <row r="130">
      <c r="A130" t="n">
        <v>54</v>
      </c>
      <c r="B130" t="inlineStr">
        <is>
          <t>Team 1</t>
        </is>
      </c>
      <c r="C130" t="n">
        <v>10</v>
      </c>
      <c r="D130">
        <f>HYPERLINK("https://www.google.com/maps/dir/12.184,75.928/12.101168,75.938996/12.101693,75.93939/12.0962969,75.9525053/12.088421,75.953823/12.089477,75.950426/12.097308,75.949654/12.093158,75.949978/12.092727,75.944763/12.087576,75.952486/12.097378,75.951886/12.184,75.928", "Open Route")</f>
        <v/>
      </c>
    </row>
    <row r="131">
      <c r="A131" t="n">
        <v>54</v>
      </c>
      <c r="B131" t="inlineStr">
        <is>
          <t>Team 2</t>
        </is>
      </c>
      <c r="C131" t="n">
        <v>10</v>
      </c>
      <c r="D131">
        <f>HYPERLINK("https://www.google.com/maps/dir/12.184,75.928/12.197982,75.899964/12.197794,75.899796/12.194277,75.896579/12.184322,75.903292/12.191185,75.911551/12.190212,75.909073/12.193285,75.906748/12.188168,75.905968/12.19006,75.90412/12.186076,75.903373/12.184,75.928", "Open Route")</f>
        <v/>
      </c>
    </row>
    <row r="132">
      <c r="A132" t="n">
        <v>54</v>
      </c>
      <c r="B132" t="inlineStr">
        <is>
          <t>Team 3</t>
        </is>
      </c>
      <c r="C132" t="n">
        <v>10</v>
      </c>
      <c r="D132">
        <f>HYPERLINK("https://www.google.com/maps/dir/12.184,75.928/12.075799,75.973686/12.0842606,75.990425/12.088411,75.990968/12.085234,75.983348/12.083234,75.98386/12.083842,75.97802/12.085529,75.980255/12.084622,75.981239/12.084696,75.98341/12.085198,75.98136/12.184,75.928", "Open Route")</f>
        <v/>
      </c>
    </row>
    <row r="133">
      <c r="A133" t="n">
        <v>55</v>
      </c>
      <c r="B133" t="inlineStr">
        <is>
          <t>Team 1</t>
        </is>
      </c>
      <c r="C133" t="n">
        <v>10</v>
      </c>
      <c r="D133">
        <f>HYPERLINK("https://www.google.com/maps/dir/12.184,75.928/12.125527,75.950894/12.111469,75.949762/12.113502,75.950394/12.110153,75.94957/12.110565,75.949464/12.107007,75.949937/12.118684,75.95385/12.106657,75.957388/12.114319,75.960472/12.110521,75.960301/12.184,75.928", "Open Route")</f>
        <v/>
      </c>
    </row>
    <row r="134">
      <c r="A134" t="n">
        <v>55</v>
      </c>
      <c r="B134" t="inlineStr">
        <is>
          <t>Team 2</t>
        </is>
      </c>
      <c r="C134" t="n">
        <v>10</v>
      </c>
      <c r="D134">
        <f>HYPERLINK("https://www.google.com/maps/dir/12.184,75.928/12.309747,75.957298/12.3121,75.9526/12.317511,75.954711/12.31147,75.95187/12.316567,75.943087/12.320031,75.900351/12.32896,75.90041/12.322011,75.904471/12.324233,75.895385/12.339457,75.909941/12.184,75.928", "Open Route")</f>
        <v/>
      </c>
    </row>
    <row r="135">
      <c r="A135" t="n">
        <v>56</v>
      </c>
      <c r="B135" t="inlineStr">
        <is>
          <t>Team 1</t>
        </is>
      </c>
      <c r="C135" t="n">
        <v>10</v>
      </c>
      <c r="D135">
        <f>HYPERLINK("https://www.google.com/maps/dir/12.184,75.928/12.45013,75.85641/12.44716,75.85152/12.44879,75.85532/12.44253,75.85816/12.4418841,75.85253/12.448747,75.858928/12.44127,75.86063/12.457254,75.85814/12.451857,75.852124/12.45401,75.85329/12.184,75.928", "Open Route")</f>
        <v/>
      </c>
    </row>
    <row r="136">
      <c r="A136" t="n">
        <v>56</v>
      </c>
      <c r="B136" t="inlineStr">
        <is>
          <t>Team 3</t>
        </is>
      </c>
      <c r="C136" t="n">
        <v>10</v>
      </c>
      <c r="D136">
        <f>HYPERLINK("https://www.google.com/maps/dir/12.184,75.928/12.232941,75.862468/12.232756,75.863009/12.232953,75.862317/12.232742,75.861761/12.224944,75.861548/12.229476,75.861886/12.225985,75.862441/12.226037,75.859224/12.232967,75.86129/12.231008,75.855409/12.184,75.928", "Open Route")</f>
        <v/>
      </c>
    </row>
    <row r="137">
      <c r="A137" t="n">
        <v>57</v>
      </c>
      <c r="B137" t="inlineStr">
        <is>
          <t>Team 2</t>
        </is>
      </c>
      <c r="C137" t="n">
        <v>10</v>
      </c>
      <c r="D137">
        <f>HYPERLINK("https://www.google.com/maps/dir/12.184,75.928/12.188881,75.995298/12.178055,76.000754/12.172181,76.023947/12.176122,76.044824/12.183728,76.020242/12.18306,76.018834/12.174782,76.034095/12.174664,76.007514/12.18389,76.00999/12.179601,75.982435/12.184,75.928", "Open Route")</f>
        <v/>
      </c>
    </row>
    <row r="138">
      <c r="A138" t="n">
        <v>57</v>
      </c>
      <c r="B138" t="inlineStr">
        <is>
          <t>Team 3</t>
        </is>
      </c>
      <c r="C138" t="n">
        <v>10</v>
      </c>
      <c r="D138">
        <f>HYPERLINK("https://www.google.com/maps/dir/12.184,75.928/12.462523,75.723002/12.474468,75.71952/12.475392,75.717399/12.485681,75.711994/12.484114,75.711273/12.47885,75.712753/12.478174,75.7155/12.4754168,75.721175/12.475527,75.722378/12.4752439,75.720686/12.184,75.928", "Open Route")</f>
        <v/>
      </c>
    </row>
    <row r="139">
      <c r="A139" t="n">
        <v>58</v>
      </c>
      <c r="B139" t="inlineStr">
        <is>
          <t>Team 1</t>
        </is>
      </c>
      <c r="C139" t="n">
        <v>8</v>
      </c>
      <c r="D139">
        <f>HYPERLINK("https://www.google.com/maps/dir/12.184,75.928/12.081434,75.955687/12.080573,75.960012/12.081903,75.962176/12.077908,75.957455/12.072026,75.953741/12.072662,75.954385/12.078158,75.954877/12.098016,75.929866/12.184,75.928", "Open Route")</f>
        <v/>
      </c>
    </row>
    <row r="140">
      <c r="A140" t="n">
        <v>58</v>
      </c>
      <c r="B140" t="inlineStr">
        <is>
          <t>Team 2</t>
        </is>
      </c>
      <c r="C140" t="n">
        <v>8</v>
      </c>
      <c r="D140">
        <f>HYPERLINK("https://www.google.com/maps/dir/12.184,75.928/12.301721,75.849422/12.307099,75.851318/12.283908,75.859556/12.302351,75.848117/12.304545,75.844143/12.302141,75.844452/12.30233,75.84224/12.27991,75.84821/12.184,75.928", "Open Route")</f>
        <v/>
      </c>
    </row>
    <row r="141">
      <c r="A141" t="n">
        <v>58</v>
      </c>
      <c r="B141" t="inlineStr">
        <is>
          <t>Team 3</t>
        </is>
      </c>
      <c r="C141" t="n">
        <v>9</v>
      </c>
      <c r="D141">
        <f>HYPERLINK("https://www.google.com/maps/dir/12.184,75.928/12.077667,75.930957/12.076331,75.930309/12.073571,75.932611/12.075193,75.935611/12.077229,75.930642/12.073971,75.932151/12.073571,75.933706/12.071271,75.935039/12.073266,75.927943/12.184,75.928", "Open Route")</f>
        <v/>
      </c>
    </row>
    <row r="142">
      <c r="A142" t="n">
        <v>59</v>
      </c>
      <c r="B142" t="inlineStr">
        <is>
          <t>Team 1</t>
        </is>
      </c>
      <c r="C142" t="n">
        <v>7</v>
      </c>
      <c r="D142">
        <f>HYPERLINK("https://www.google.com/maps/dir/12.184,75.928/12.020143,75.889953/12.018819,75.891437/12.017022,75.897248/12.009544,75.894274/12.014102,75.904458/12.013465,75.904537/12.0169289,75.9079203/12.184,75.928", "Open Route")</f>
        <v/>
      </c>
    </row>
    <row r="143">
      <c r="A143" t="n">
        <v>59</v>
      </c>
      <c r="B143" t="inlineStr">
        <is>
          <t>Team 2</t>
        </is>
      </c>
      <c r="C143" t="n">
        <v>10</v>
      </c>
      <c r="D143">
        <f>HYPERLINK("https://www.google.com/maps/dir/12.184,75.928/12.456451,75.770741/12.458866,75.769117/12.459187,75.768836/12.458198,75.767441/12.458165,75.767111/12.456924,75.769241/12.457483,75.771738/12.458153,75.767211/12.458611,75.767019/12.456192,75.770677/12.184,75.928", "Open Route")</f>
        <v/>
      </c>
    </row>
    <row r="144">
      <c r="A144" t="n">
        <v>59</v>
      </c>
      <c r="B144" t="inlineStr">
        <is>
          <t>Team 3</t>
        </is>
      </c>
      <c r="C144" t="n">
        <v>9</v>
      </c>
      <c r="D144">
        <f>HYPERLINK("https://www.google.com/maps/dir/12.184,75.928/12.164246,75.989042/12.148181,75.990405/12.146407,75.982751/12.147219,75.986057/12.143083,75.985224/12.140382,75.978415/12.146549,75.979273/12.156306,75.979364/12.162566,75.975074/12.184,75.928", "Open Route")</f>
        <v/>
      </c>
    </row>
    <row r="145">
      <c r="A145" t="n">
        <v>60</v>
      </c>
      <c r="B145" t="inlineStr">
        <is>
          <t>Team 1</t>
        </is>
      </c>
      <c r="C145" t="n">
        <v>10</v>
      </c>
      <c r="D145">
        <f>HYPERLINK("https://www.google.com/maps/dir/12.184,75.928/12.157383,75.933167/12.15996,75.937858/12.159496,75.93674/12.156924,75.93972/12.156926,75.93972/12.156081,75.934581/12.158227,75.937114/12.159618,75.938376/12.160124,75.93844/12.159817,75.935461/12.184,75.928", "Open Route")</f>
        <v/>
      </c>
    </row>
    <row r="146">
      <c r="A146" t="n">
        <v>60</v>
      </c>
      <c r="B146" t="inlineStr">
        <is>
          <t>Team 2</t>
        </is>
      </c>
      <c r="C146" t="n">
        <v>10</v>
      </c>
      <c r="D146">
        <f>HYPERLINK("https://www.google.com/maps/dir/12.184,75.928/12.33742,75.77752/12.3417338,75.7591841/12.34479,75.76008/12.3445161,75.754163/12.33179,75.78713/12.3398,75.80374/12.341942,75.787299/12.341871,75.78743/12.34275,75.78366/12.341887,75.787519/12.184,75.928", "Open Route")</f>
        <v/>
      </c>
    </row>
    <row r="147">
      <c r="A147" t="n">
        <v>60</v>
      </c>
      <c r="B147" t="inlineStr">
        <is>
          <t>Team 3</t>
        </is>
      </c>
      <c r="C147" t="n">
        <v>10</v>
      </c>
      <c r="D147">
        <f>HYPERLINK("https://www.google.com/maps/dir/12.184,75.928/12.348264,75.871086/12.350459,75.874861/12.367111,75.860966/12.355074,75.874553/12.353374,75.876251/12.35038,75.875764/12.35326379,75.8800017/12.35066,75.873929/12.32595,75.88926/12.334414,75.925743/12.184,75.928", "Open Route")</f>
        <v/>
      </c>
    </row>
    <row r="148">
      <c r="A148" t="n">
        <v>61</v>
      </c>
      <c r="B148" t="inlineStr">
        <is>
          <t>Team 1</t>
        </is>
      </c>
      <c r="C148" t="n">
        <v>10</v>
      </c>
      <c r="D148">
        <f>HYPERLINK("https://www.google.com/maps/dir/12.184,75.928/12.115156,75.883789/12.118458,75.881977/12.1205793,75.88499/12.115725,75.885251/12.115674,75.882973/12.1167309,75.882198/12.115136,75.883485/12.118147,75.881672/12.117955,75.880328/12.118572,75.881847/12.184,75.928", "Open Route")</f>
        <v/>
      </c>
    </row>
    <row r="149">
      <c r="A149" t="n">
        <v>61</v>
      </c>
      <c r="B149" t="inlineStr">
        <is>
          <t>Team 2</t>
        </is>
      </c>
      <c r="C149" t="n">
        <v>7</v>
      </c>
      <c r="D149">
        <f>HYPERLINK("https://www.google.com/maps/dir/12.184,75.928/12.171487,75.879485/12.167942,75.872403/12.15897,75.87255/12.150306,75.889771/12.140881,75.896996/12.137528,75.888867/12.132285,75.869216/12.184,75.928", "Open Route")</f>
        <v/>
      </c>
    </row>
    <row r="150">
      <c r="A150" t="n">
        <v>61</v>
      </c>
      <c r="B150" t="inlineStr">
        <is>
          <t>Team 3</t>
        </is>
      </c>
      <c r="C150" t="n">
        <v>10</v>
      </c>
      <c r="D150">
        <f>HYPERLINK("https://www.google.com/maps/dir/12.184,75.928/12.143202,75.90213/12.133017,75.885946/12.153021,75.901467/12.153759,75.902251/12.148606,75.907/12.151244,75.903315/12.143108,75.918169/12.13824,75.914197/12.131916,75.906765/12.116959,75.910377/12.184,75.928", "Open Route")</f>
        <v/>
      </c>
    </row>
    <row r="151">
      <c r="A151" t="n">
        <v>62</v>
      </c>
      <c r="B151" t="inlineStr">
        <is>
          <t>Team 1</t>
        </is>
      </c>
      <c r="C151" t="n">
        <v>10</v>
      </c>
      <c r="D151">
        <f>HYPERLINK("https://www.google.com/maps/dir/12.184,75.928/12.333496,75.773895/12.384553,75.75865/12.385084,75.758509/12.386957,75.740384/12.370016,75.733538/12.396708,75.7512819/12.40404,75.7478283/12.401966,75.777757/12.372066,75.780986/12.36205,75.78786/12.184,75.928", "Open Route")</f>
        <v/>
      </c>
    </row>
    <row r="152">
      <c r="A152" t="n">
        <v>62</v>
      </c>
      <c r="B152" t="inlineStr">
        <is>
          <t>Team 3</t>
        </is>
      </c>
      <c r="C152" t="n">
        <v>10</v>
      </c>
      <c r="D152">
        <f>HYPERLINK("https://www.google.com/maps/dir/12.184,75.928/12.030172,75.888243/12.025901,75.886972/12.023933,75.881966/12.024695,75.877314/12.017095,75.879299/12.018372,75.876359/12.023613,75.882224/12.030171,75.877107/12.030559,75.877771/12.023156,75.881537/12.184,75.928", "Open Route")</f>
        <v/>
      </c>
    </row>
    <row r="153">
      <c r="A153" t="n">
        <v>63</v>
      </c>
      <c r="B153" t="inlineStr">
        <is>
          <t>Team 1</t>
        </is>
      </c>
      <c r="C153" t="n">
        <v>10</v>
      </c>
      <c r="D153">
        <f>HYPERLINK("https://www.google.com/maps/dir/12.184,75.928/12.265374,75.85788/12.273663,75.872255/12.26252,75.85833/12.260551,75.856431/12.264362,75.857317/12.264281,75.857978/12.270744,75.865065/12.262264,75.854228/12.26043,75.85611/12.262261,75.854701/12.184,75.928", "Open Route")</f>
        <v/>
      </c>
    </row>
    <row r="154">
      <c r="A154" t="n">
        <v>63</v>
      </c>
      <c r="B154" t="inlineStr">
        <is>
          <t>Team 2</t>
        </is>
      </c>
      <c r="C154" t="n">
        <v>8</v>
      </c>
      <c r="D154">
        <f>HYPERLINK("https://www.google.com/maps/dir/12.184,75.928/12.405255,75.908751/12.437827,75.876272/12.437919,75.876327/12.43529,75.87871/12.42138,75.87967/12.41945,75.881902/12.3477184,75.8870169/12.35102077,75.89875/12.184,75.928", "Open Route")</f>
        <v/>
      </c>
    </row>
    <row r="155">
      <c r="A155" t="n">
        <v>63</v>
      </c>
      <c r="B155" t="inlineStr">
        <is>
          <t>Team 3</t>
        </is>
      </c>
      <c r="C155" t="n">
        <v>7</v>
      </c>
      <c r="D155">
        <f>HYPERLINK("https://www.google.com/maps/dir/12.184,75.928/12.00023,75.892858/11.990168,75.894915/12.004175,75.893759/12.003427,75.897491/11.997424,75.901055/12.001312,75.895952/12.000984,75.895853/12.184,75.928", "Open Route")</f>
        <v/>
      </c>
    </row>
    <row r="156">
      <c r="A156" t="n">
        <v>64</v>
      </c>
      <c r="B156" t="inlineStr">
        <is>
          <t>Team 1</t>
        </is>
      </c>
      <c r="C156" t="n">
        <v>10</v>
      </c>
      <c r="D156">
        <f>HYPERLINK("https://www.google.com/maps/dir/12.184,75.928/12.094355,76.044819/12.10003,76.046711/12.101894,76.034866/12.093911,76.042443/12.098803,76.040618/12.090509,76.044491/12.09013,76.043845/12.081963,76.038093/12.08701,76.051291/12.072949,76.046117/12.184,75.928", "Open Route")</f>
        <v/>
      </c>
    </row>
    <row r="157">
      <c r="A157" t="n">
        <v>64</v>
      </c>
      <c r="B157" t="inlineStr">
        <is>
          <t>Team 2</t>
        </is>
      </c>
      <c r="C157" t="n">
        <v>10</v>
      </c>
      <c r="D157">
        <f>HYPERLINK("https://www.google.com/maps/dir/12.184,75.928/12.258474,75.855689/12.267461,75.861251/12.269515,75.85312/12.268461,75.864483/12.26678,75.86282/12.248461,75.858104/12.245548,75.850232/12.244922,75.848275/12.247921,75.848261/12.247211,75.862219/12.184,75.928", "Open Route")</f>
        <v/>
      </c>
    </row>
    <row r="158">
      <c r="A158" t="n">
        <v>64</v>
      </c>
      <c r="B158" t="inlineStr">
        <is>
          <t>Team 3</t>
        </is>
      </c>
      <c r="C158" t="n">
        <v>10</v>
      </c>
      <c r="D158">
        <f>HYPERLINK("https://www.google.com/maps/dir/12.184,75.928/12.120611,75.875468/12.113022,75.869144/12.110738,75.894661/12.113031,75.86494/12.115692,75.887824/12.113106,75.8686293/12.1123281,75.883463/12.112742,75.86411/12.123021,75.87804/12.124312,75.883044/12.184,75.928", "Open Route")</f>
        <v/>
      </c>
    </row>
    <row r="159">
      <c r="A159" t="n">
        <v>65</v>
      </c>
      <c r="B159" t="inlineStr">
        <is>
          <t>Team 1</t>
        </is>
      </c>
      <c r="C159" t="n">
        <v>6</v>
      </c>
      <c r="D159">
        <f>HYPERLINK("https://www.google.com/maps/dir/12.184,75.928/12.440173,75.649544/12.417125,75.652816/12.390144,75.570277/12.382693,75.543881/12.391928,75.51772/12.4113,75.509301/12.184,75.928", "Open Route")</f>
        <v/>
      </c>
    </row>
    <row r="160">
      <c r="A160" t="n">
        <v>65</v>
      </c>
      <c r="B160" t="inlineStr">
        <is>
          <t>Team 2</t>
        </is>
      </c>
      <c r="C160" t="n">
        <v>10</v>
      </c>
      <c r="D160">
        <f>HYPERLINK("https://www.google.com/maps/dir/12.184,75.928/12.036337,75.848616/12.037657,75.852891/12.036566,75.857647/12.040074,75.855478/12.036099,75.858042/12.041178,75.852398/12.050431,75.849101/12.055255,75.836668/12.049792,75.849593/12.053853,75.837923/12.184,75.928", "Open Route")</f>
        <v/>
      </c>
    </row>
    <row r="161">
      <c r="A161" t="n">
        <v>66</v>
      </c>
      <c r="B161" t="inlineStr">
        <is>
          <t>Team 1</t>
        </is>
      </c>
      <c r="C161" t="n">
        <v>10</v>
      </c>
      <c r="D161">
        <f>HYPERLINK("https://www.google.com/maps/dir/12.184,75.928/12.173005,75.923577/12.172477,75.926452/12.172667,75.928042/12.173518,75.92666/12.17208,75.927828/12.173617,75.932089/12.173615,75.932089/12.173616,75.932089/12.175761,75.931537/12.173618,75.932089/12.184,75.928", "Open Route")</f>
        <v/>
      </c>
    </row>
    <row r="162">
      <c r="A162" t="n">
        <v>66</v>
      </c>
      <c r="B162" t="inlineStr">
        <is>
          <t>Team 2</t>
        </is>
      </c>
      <c r="C162" t="n">
        <v>10</v>
      </c>
      <c r="D162">
        <f>HYPERLINK("https://www.google.com/maps/dir/12.184,75.928/12.193076,75.845037/12.2057103,75.8190762/12.198069,75.812556/12.199145,75.8133124/12.1988,75.83266/12.19521,75.8255946/12.197647,75.806761/12.192259,75.815035/12.193201,75.815352/12.182956,75.826455/12.184,75.928", "Open Route")</f>
        <v/>
      </c>
    </row>
    <row r="163">
      <c r="A163" t="n">
        <v>66</v>
      </c>
      <c r="B163" t="inlineStr">
        <is>
          <t>Team 3</t>
        </is>
      </c>
      <c r="C163" t="n">
        <v>7</v>
      </c>
      <c r="D163">
        <f>HYPERLINK("https://www.google.com/maps/dir/12.184,75.928/12.202717,75.893942/12.199362,75.880182/12.198563,75.881177/12.200691,75.881951/12.200786,75.882369/12.197349,75.880102/12.200274,75.884801/12.184,75.928", "Open Route")</f>
        <v/>
      </c>
    </row>
    <row r="164">
      <c r="A164" t="n">
        <v>67</v>
      </c>
      <c r="B164" t="inlineStr">
        <is>
          <t>Team 1</t>
        </is>
      </c>
      <c r="C164" t="n">
        <v>10</v>
      </c>
      <c r="D164">
        <f>HYPERLINK("https://www.google.com/maps/dir/12.184,75.928/12.052385,75.974692/12.059425,75.977931/12.061678,75.981843/12.062441,75.973943/12.06932,75.975734/12.06886,75.969794/12.049128,75.979095/12.050227,75.972554/12.049485,75.963254/12.04504,75.9817/12.184,75.928", "Open Route")</f>
        <v/>
      </c>
    </row>
    <row r="165">
      <c r="A165" t="n">
        <v>67</v>
      </c>
      <c r="B165" t="inlineStr">
        <is>
          <t>Team 2</t>
        </is>
      </c>
      <c r="C165" t="n">
        <v>10</v>
      </c>
      <c r="D165">
        <f>HYPERLINK("https://www.google.com/maps/dir/12.184,75.928/12.27607,75.86609/12.272899,75.865347/12.27406,75.86715/12.27345,75.86792/12.273661,75.867071/12.275272,75.868125/12.276469,75.869094/12.276468,75.869095/12.2761363,75.86611716/12.2765786,75.8660561/12.184,75.928", "Open Route")</f>
        <v/>
      </c>
    </row>
    <row r="166">
      <c r="A166" t="n">
        <v>67</v>
      </c>
      <c r="B166" t="inlineStr">
        <is>
          <t>Team 3</t>
        </is>
      </c>
      <c r="C166" t="n">
        <v>10</v>
      </c>
      <c r="D166">
        <f>HYPERLINK("https://www.google.com/maps/dir/12.184,75.928/12.12506,75.883981/12.129391,75.898708/12.1095721,75.895101/12.126886,75.898706/12.129235,75.898995/12.121592,75.914054/12.1304653,75.899446/12.128633,75.901125/12.128533,75.901125/12.124685,75.901004/12.184,75.928", "Open Route")</f>
        <v/>
      </c>
    </row>
    <row r="167">
      <c r="A167" t="n">
        <v>68</v>
      </c>
      <c r="B167" t="inlineStr">
        <is>
          <t>Team 1</t>
        </is>
      </c>
      <c r="C167" t="n">
        <v>10</v>
      </c>
      <c r="D167">
        <f>HYPERLINK("https://www.google.com/maps/dir/12.184,75.928/12.29989,75.95519/12.300558,75.953757/12.2992061,75.9540636/12.30145,75.95456/12.304009,75.952452/12.30088,75.95397/12.30024,75.95371/12.3013524,75.9538105/12.2999395,75.9541052/12.3019,75.95508/12.184,75.928", "Open Route")</f>
        <v/>
      </c>
    </row>
    <row r="168">
      <c r="A168" t="n">
        <v>68</v>
      </c>
      <c r="B168" t="inlineStr">
        <is>
          <t>Team 2</t>
        </is>
      </c>
      <c r="C168" t="n">
        <v>9</v>
      </c>
      <c r="D168">
        <f>HYPERLINK("https://www.google.com/maps/dir/12.184,75.928/12.299107,75.944641/12.304501,75.945101/12.298911,75.944798/12.292517,75.923228/12.295044,75.920471/12.292878,75.925078/12.295503,75.920025/12.293182,75.925621/12.291519,75.919956/12.184,75.928", "Open Route")</f>
        <v/>
      </c>
    </row>
    <row r="169">
      <c r="A169" t="n">
        <v>68</v>
      </c>
      <c r="B169" t="inlineStr">
        <is>
          <t>Team 3</t>
        </is>
      </c>
      <c r="C169" t="n">
        <v>10</v>
      </c>
      <c r="D169">
        <f>HYPERLINK("https://www.google.com/maps/dir/12.184,75.928/12.3551,75.80124/12.35493,75.80076/12.35521,75.80145/12.358851,75.804625/12.35472,75.80121/12.35918,75.80422/12.35508,75.80124/12.357844,75.791902/12.353273,75.792156/12.352238,75.7924/12.184,75.928", "Open Route")</f>
        <v/>
      </c>
    </row>
    <row r="170">
      <c r="A170" t="n">
        <v>69</v>
      </c>
      <c r="B170" t="inlineStr">
        <is>
          <t>Team 1</t>
        </is>
      </c>
      <c r="C170" t="n">
        <v>10</v>
      </c>
      <c r="D170">
        <f>HYPERLINK("https://www.google.com/maps/dir/12.184,75.928/12.029305,75.965748/12.029089,75.963999/12.027408,75.964031/12.030141,75.966807/12.028055,75.96514/12.029813,75.965936/12.029469,75.967343/12.029961,75.967468/12.030386,75.967311/12.029965,75.965447/12.184,75.928", "Open Route")</f>
        <v/>
      </c>
    </row>
    <row r="171">
      <c r="A171" t="n">
        <v>69</v>
      </c>
      <c r="B171" t="inlineStr">
        <is>
          <t>Team 2</t>
        </is>
      </c>
      <c r="C171" t="n">
        <v>10</v>
      </c>
      <c r="D171">
        <f>HYPERLINK("https://www.google.com/maps/dir/12.184,75.928/12.24179,75.89157/12.242058,75.888581/12.245899,75.891241/12.245881,75.891221/12.296535,75.893201/12.31995,75.89535/12.261206,75.885391/12.267116,75.867823/12.261381,75.885361/12.245963,75.884491/12.184,75.928", "Open Route")</f>
        <v/>
      </c>
    </row>
    <row r="172">
      <c r="A172" t="n">
        <v>69</v>
      </c>
      <c r="B172" t="inlineStr">
        <is>
          <t>Team 3</t>
        </is>
      </c>
      <c r="C172" t="n">
        <v>10</v>
      </c>
      <c r="D172">
        <f>HYPERLINK("https://www.google.com/maps/dir/12.184,75.928/12.035427,75.930333/12.034441,75.933101/12.027226,75.933192/12.034538,75.929366/12.020069,75.926121/12.019631,75.926023/12.016298,75.924462/12.00669,75.93848/12.026032,75.958443/12.011649,75.949077/12.184,75.928", "Open Route")</f>
        <v/>
      </c>
    </row>
    <row r="173">
      <c r="A173" t="n">
        <v>70</v>
      </c>
      <c r="B173" t="inlineStr">
        <is>
          <t>Team 1</t>
        </is>
      </c>
      <c r="C173" t="n">
        <v>10</v>
      </c>
      <c r="D173">
        <f>HYPERLINK("https://www.google.com/maps/dir/12.184,75.928/12.477222,75.860227/12.470107,75.860881/12.464841,75.860082/12.47871,75.86181/12.47868,75.85921/12.459625,75.855526/12.474212,75.858569/12.45893,75.85674/12.47647,75.859481/12.4582,75.85857/12.184,75.928", "Open Route")</f>
        <v/>
      </c>
    </row>
    <row r="174">
      <c r="A174" t="n">
        <v>70</v>
      </c>
      <c r="B174" t="inlineStr">
        <is>
          <t>Team 2</t>
        </is>
      </c>
      <c r="C174" t="n">
        <v>10</v>
      </c>
      <c r="D174">
        <f>HYPERLINK("https://www.google.com/maps/dir/12.184,75.928/12.375446,75.847564/12.424781,75.842748/12.418506,75.835572/12.422886,75.8387937/12.416286,75.836439/12.42259,75.83235/12.42683,75.824913/12.382607,75.83228/12.39194,75.82882/12.351105,75.8589/12.184,75.928", "Open Route")</f>
        <v/>
      </c>
    </row>
    <row r="175">
      <c r="A175" t="n">
        <v>70</v>
      </c>
      <c r="B175" t="inlineStr">
        <is>
          <t>Team 3</t>
        </is>
      </c>
      <c r="C175" t="n">
        <v>10</v>
      </c>
      <c r="D175">
        <f>HYPERLINK("https://www.google.com/maps/dir/12.184,75.928/12.3973615,75.9052865/12.398697,75.905216/12.394805,75.902157/12.394215,75.903452/12.392833,75.906456/12.392407,75.906175/12.39146,75.903542/12.32769,75.868595/12.3330902,75.8681646/12.332495,75.876592/12.184,75.928", "Open Route")</f>
        <v/>
      </c>
    </row>
    <row r="176">
      <c r="A176" t="n">
        <v>71</v>
      </c>
      <c r="B176" t="inlineStr">
        <is>
          <t>Team 1</t>
        </is>
      </c>
      <c r="C176" t="n">
        <v>10</v>
      </c>
      <c r="D176">
        <f>HYPERLINK("https://www.google.com/maps/dir/12.184,75.928/12.159031,76.065015/12.1366476,76.04585987/12.136078,76.053451/12.1543203,76.0462621/12.15692,76.06219/12.1165207,76.05929187/12.118402,76.057956/12.157444,76.061431/12.132045,76.051921/12.1614171,76.07302165/12.184,75.928", "Open Route")</f>
        <v/>
      </c>
    </row>
    <row r="177">
      <c r="A177" t="n">
        <v>71</v>
      </c>
      <c r="B177" t="inlineStr">
        <is>
          <t>Team 2</t>
        </is>
      </c>
      <c r="C177" t="n">
        <v>10</v>
      </c>
      <c r="D177">
        <f>HYPERLINK("https://www.google.com/maps/dir/12.184,75.928/12.269523,75.865987/12.285566,75.866159/12.285949,75.866349/12.286659,75.867727/12.2908276,75.8710961/12.2934783,75.8714907/12.27859,75.85697/12.280428,75.855703/12.282428,75.851008/12.276624,75.854655/12.184,75.928", "Open Route")</f>
        <v/>
      </c>
    </row>
    <row r="178">
      <c r="A178" t="n">
        <v>71</v>
      </c>
      <c r="B178" t="inlineStr">
        <is>
          <t>Team 3</t>
        </is>
      </c>
      <c r="C178" t="n">
        <v>10</v>
      </c>
      <c r="D178">
        <f>HYPERLINK("https://www.google.com/maps/dir/12.184,75.928/12.337521,75.874068/12.337517,75.874069/12.424553,75.9113356/12.41506,75.909745/12.414327,75.909523/12.416666,75.910759/12.41891,75.9103399/12.4204343,75.9073665/12.417134,75.910851/12.3567,75.89499/12.184,75.928", "Open Route")</f>
        <v/>
      </c>
    </row>
    <row r="179">
      <c r="A179" t="n">
        <v>72</v>
      </c>
      <c r="B179" t="inlineStr">
        <is>
          <t>Team 1</t>
        </is>
      </c>
      <c r="C179" t="n">
        <v>10</v>
      </c>
      <c r="D179">
        <f>HYPERLINK("https://www.google.com/maps/dir/12.184,75.928/12.089022,75.941041/12.086341,75.936642/12.091512,75.935133/12.09174,75.935905/12.086052,75.941123/12.0865336,75.936155/12.084645,75.938309/12.090535,75.936311/12.090631,75.935614/12.085297,75.939596/12.184,75.928", "Open Route")</f>
        <v/>
      </c>
    </row>
    <row r="180">
      <c r="A180" t="n">
        <v>72</v>
      </c>
      <c r="B180" t="inlineStr">
        <is>
          <t>Team 2</t>
        </is>
      </c>
      <c r="C180" t="n">
        <v>10</v>
      </c>
      <c r="D180">
        <f>HYPERLINK("https://www.google.com/maps/dir/12.184,75.928/12.152848,75.791726/12.162414,75.791106/12.162618,75.794159/12.157011,75.789299/12.15431,75.786686/12.156648,75.789529/12.15658,75.788094/12.15659,75.788094/12.159963,75.786474/12.156685,75.7887/12.184,75.928", "Open Route")</f>
        <v/>
      </c>
    </row>
    <row r="181">
      <c r="A181" t="n">
        <v>72</v>
      </c>
      <c r="B181" t="inlineStr">
        <is>
          <t>Team 3</t>
        </is>
      </c>
      <c r="C181" t="n">
        <v>10</v>
      </c>
      <c r="D181">
        <f>HYPERLINK("https://www.google.com/maps/dir/12.184,75.928/12.174012,75.992477/12.17971,75.993506/12.172836,75.991734/12.173951,75.992707/12.178441,75.992991/12.180192,75.990902/12.179139,75.988631/12.177612,75.987989/12.178581,75.999453/12.180821,75.994321/12.184,75.928", "Open Route")</f>
        <v/>
      </c>
    </row>
    <row r="182">
      <c r="A182" t="n">
        <v>73</v>
      </c>
      <c r="B182" t="inlineStr">
        <is>
          <t>Team 1</t>
        </is>
      </c>
      <c r="C182" t="n">
        <v>8</v>
      </c>
      <c r="D182">
        <f>HYPERLINK("https://www.google.com/maps/dir/12.184,75.928/12.209992,75.876846/12.210025,75.876873/12.219583,75.872651/12.214142,75.875145/12.209994,75.876894/12.223466,75.846212/12.299042,75.858259/12.239874,75.872589/12.184,75.928", "Open Route")</f>
        <v/>
      </c>
    </row>
    <row r="183">
      <c r="A183" t="n">
        <v>73</v>
      </c>
      <c r="B183" t="inlineStr">
        <is>
          <t>Team 3</t>
        </is>
      </c>
      <c r="C183" t="n">
        <v>10</v>
      </c>
      <c r="D183">
        <f>HYPERLINK("https://www.google.com/maps/dir/12.184,75.928/12.4188199,75.6393641/12.4141703,75.6554376/12.391212,75.540798/12.385339,75.547778/12.399854,75.534803/12.39943,75.534881/12.404957,75.524745/12.409713,75.513092/12.411164,75.509514/12.402924,75.517219/12.184,75.928", "Open Route")</f>
        <v/>
      </c>
    </row>
    <row r="184">
      <c r="A184" t="n">
        <v>74</v>
      </c>
      <c r="B184" t="inlineStr">
        <is>
          <t>Team 1</t>
        </is>
      </c>
      <c r="C184" t="n">
        <v>10</v>
      </c>
      <c r="D184">
        <f>HYPERLINK("https://www.google.com/maps/dir/12.184,75.928/12.30775,75.89279/12.309157,75.896778/12.315608,75.892063/12.311018,75.892913/12.315687,75.892604/12.312939,75.895116/12.31408,75.88654/12.313153,75.886936/12.312333,75.892878/12.312753,75.886314/12.184,75.928", "Open Route")</f>
        <v/>
      </c>
    </row>
    <row r="185">
      <c r="A185" t="n">
        <v>74</v>
      </c>
      <c r="B185" t="inlineStr">
        <is>
          <t>Team 2</t>
        </is>
      </c>
      <c r="C185" t="n">
        <v>10</v>
      </c>
      <c r="D185">
        <f>HYPERLINK("https://www.google.com/maps/dir/12.184,75.928/12.330021,75.79414/12.362872,75.769629/12.3660297,75.7651439/12.36371,75.7565002/12.36345,75.756915/12.3337269,75.7587707/12.333672,75.757736/12.34297,75.77836/12.33389,75.79096/12.32773,75.80921/12.184,75.928", "Open Route")</f>
        <v/>
      </c>
    </row>
    <row r="186">
      <c r="A186" t="n">
        <v>75</v>
      </c>
      <c r="B186" t="inlineStr">
        <is>
          <t>Team 1</t>
        </is>
      </c>
      <c r="C186" t="n">
        <v>10</v>
      </c>
      <c r="D186">
        <f>HYPERLINK("https://www.google.com/maps/dir/12.184,75.928/12.261009,75.877144/12.263861,75.878662/12.26232,75.8771/12.263454,75.880192/12.263147,75.879704/12.265112,75.877433/12.26363,75.87696/12.26521,75.87574/12.264391,75.877821/12.26427,75.87813/12.184,75.928", "Open Route")</f>
        <v/>
      </c>
    </row>
    <row r="187">
      <c r="A187" t="n">
        <v>75</v>
      </c>
      <c r="B187" t="inlineStr">
        <is>
          <t>Team 3</t>
        </is>
      </c>
      <c r="C187" t="n">
        <v>6</v>
      </c>
      <c r="D187">
        <f>HYPERLINK("https://www.google.com/maps/dir/12.184,75.928/12.206895,75.802281/12.203776,75.803165/12.205316,75.798742/12.20431,75.797876/12.211953,75.790132/12.233191,75.802341/12.184,75.928", "Open Route")</f>
        <v/>
      </c>
    </row>
    <row r="188">
      <c r="A188" t="n">
        <v>76</v>
      </c>
      <c r="B188" t="inlineStr">
        <is>
          <t>Team 1</t>
        </is>
      </c>
      <c r="C188" t="n">
        <v>10</v>
      </c>
      <c r="D188">
        <f>HYPERLINK("https://www.google.com/maps/dir/12.184,75.928/12.35224,75.66257/12.35034,75.6769264/12.3537427,75.6653963/12.346792,75.667908/12.3516515,75.6702611/12.361482,75.637009/12.344223,75.582714/12.341767,75.644121/12.32556,75.65993/12.317845,75.664645/12.184,75.928", "Open Route")</f>
        <v/>
      </c>
    </row>
    <row r="189">
      <c r="A189" t="n">
        <v>76</v>
      </c>
      <c r="B189" t="inlineStr">
        <is>
          <t>Team 2</t>
        </is>
      </c>
      <c r="C189" t="n">
        <v>10</v>
      </c>
      <c r="D189">
        <f>HYPERLINK("https://www.google.com/maps/dir/12.184,75.928/12.139278,75.992992/12.148599,76.000718/12.137764,76.008921/12.136503,76.004975/12.141114,76.004168/12.135325,76.002269/12.141543,76.002621/12.142855,75.997485/12.157139,75.978798/12.162194,75.97034/12.184,75.928", "Open Route")</f>
        <v/>
      </c>
    </row>
    <row r="190">
      <c r="A190" t="n">
        <v>76</v>
      </c>
      <c r="B190" t="inlineStr">
        <is>
          <t>Team 3</t>
        </is>
      </c>
      <c r="C190" t="n">
        <v>8</v>
      </c>
      <c r="D190">
        <f>HYPERLINK("https://www.google.com/maps/dir/12.184,75.928/12.497349,75.758298/12.486433,75.75581/12.498231,75.759348/12.495693,75.767892/12.492576,75.765788/12.497458,75.759203/12.506377,75.756716/12.497423,75.759549/12.184,75.928", "Open Route")</f>
        <v/>
      </c>
    </row>
    <row r="191">
      <c r="A191" t="n">
        <v>77</v>
      </c>
      <c r="B191" t="inlineStr">
        <is>
          <t>Team 1</t>
        </is>
      </c>
      <c r="C191" t="n">
        <v>6</v>
      </c>
      <c r="D191">
        <f>HYPERLINK("https://www.google.com/maps/dir/12.184,75.928/12.013657,75.853974/12.008351,75.854159/12.010336,75.852287/12.022669,75.859911/12.042741,75.835452/12.016903,75.867276/12.184,75.928", "Open Route")</f>
        <v/>
      </c>
    </row>
    <row r="192">
      <c r="A192" t="n">
        <v>77</v>
      </c>
      <c r="B192" t="inlineStr">
        <is>
          <t>Team 3</t>
        </is>
      </c>
      <c r="C192" t="n">
        <v>7</v>
      </c>
      <c r="D192">
        <f>HYPERLINK("https://www.google.com/maps/dir/12.184,75.928/12.148308,75.799031/12.1665962,75.7911063/12.1673312,75.7918329/12.160792,75.785401/12.162932,75.785191/12.180749,75.795102/12.18075,75.795102/12.184,75.928", "Open Route")</f>
        <v/>
      </c>
    </row>
    <row r="193">
      <c r="A193" t="n">
        <v>78</v>
      </c>
      <c r="B193" t="inlineStr">
        <is>
          <t>Team 1</t>
        </is>
      </c>
      <c r="C193" t="n">
        <v>10</v>
      </c>
      <c r="D193">
        <f>HYPERLINK("https://www.google.com/maps/dir/12.184,75.928/12.359674,75.560191/12.375469,75.529552/12.375034,75.532192/12.300355,75.629901/12.295147,75.634042/12.289228,75.651289/12.303051,75.644628/12.300698,75.650463/12.303052,75.644628/12.300646,75.64961/12.184,75.928", "Open Route")</f>
        <v/>
      </c>
    </row>
    <row r="194">
      <c r="A194" t="n">
        <v>78</v>
      </c>
      <c r="B194" t="inlineStr">
        <is>
          <t>Team 2</t>
        </is>
      </c>
      <c r="C194" t="n">
        <v>10</v>
      </c>
      <c r="D194">
        <f>HYPERLINK("https://www.google.com/maps/dir/12.184,75.928/12.3171,75.83527/12.340026,75.822669/12.3871681,75.81674/12.38807,75.816806/12.38301,75.817335/12.38796,75.81027/12.38174,75.80786/12.385384,75.811089/12.3630452,75.8048306/12.33399,75.81074/12.184,75.928", "Open Route")</f>
        <v/>
      </c>
    </row>
    <row r="195">
      <c r="A195" t="n">
        <v>78</v>
      </c>
      <c r="B195" t="inlineStr">
        <is>
          <t>Team 3</t>
        </is>
      </c>
      <c r="C195" t="n">
        <v>10</v>
      </c>
      <c r="D195">
        <f>HYPERLINK("https://www.google.com/maps/dir/12.184,75.928/12.368125,75.555594/12.367467,75.551701/12.366161,75.55128/12.392827,75.538514/12.364458,75.546196/12.38211,75.555227/12.383754,75.551133/12.38212,75.5552277/12.385392,75.552239/12.36744,75.551721/12.184,75.928", "Open Route")</f>
        <v/>
      </c>
    </row>
    <row r="196">
      <c r="A196" t="n">
        <v>79</v>
      </c>
      <c r="B196" t="inlineStr">
        <is>
          <t>Team 1</t>
        </is>
      </c>
      <c r="C196" t="n">
        <v>10</v>
      </c>
      <c r="D196">
        <f>HYPERLINK("https://www.google.com/maps/dir/12.184,75.928/12.308281,75.877781/12.306722,75.878369/12.315038,75.889239/12.31395,75.88712/12.320511,75.903141/12.324712,75.882185/12.32947,75.887011/12.332881,75.885791/12.332903,75.885659/12.326916,75.879138/12.184,75.928", "Open Route")</f>
        <v/>
      </c>
    </row>
    <row r="197">
      <c r="A197" t="n">
        <v>79</v>
      </c>
      <c r="B197" t="inlineStr">
        <is>
          <t>Team 2</t>
        </is>
      </c>
      <c r="C197" t="n">
        <v>6</v>
      </c>
      <c r="D197">
        <f>HYPERLINK("https://www.google.com/maps/dir/12.184,75.928/12.197727,75.72045/12.192132,75.711381/12.173171,75.732453/12.17257,75.72889/12.175524,75.727171/12.16935,75.71609/12.184,75.928", "Open Route")</f>
        <v/>
      </c>
    </row>
    <row r="198">
      <c r="A198" t="n">
        <v>79</v>
      </c>
      <c r="B198" t="inlineStr">
        <is>
          <t>Team 3</t>
        </is>
      </c>
      <c r="C198" t="n">
        <v>10</v>
      </c>
      <c r="D198">
        <f>HYPERLINK("https://www.google.com/maps/dir/12.184,75.928/12.299945,75.871728/12.299167,75.871197/12.299828,75.878765/12.299503,75.877991/12.297837,75.875424/12.296846,75.875299/12.296718,75.875354/12.296712,75.87532/12.294543,75.877737/12.293486,75.874704/12.184,75.928", "Open Route")</f>
        <v/>
      </c>
    </row>
    <row r="199">
      <c r="A199" t="n">
        <v>80</v>
      </c>
      <c r="B199" t="inlineStr">
        <is>
          <t>Team 2</t>
        </is>
      </c>
      <c r="C199" t="n">
        <v>10</v>
      </c>
      <c r="D199">
        <f>HYPERLINK("https://www.google.com/maps/dir/12.184,75.928/12.31658,75.976693/12.31507,75.97507/12.30493,75.956341/12.30406,75.96236/12.304992,75.966207/12.300715,75.959938/12.301293,75.961332/12.305033,75.966115/12.298038,75.956962/12.305062,75.966181/12.184,75.928", "Open Route")</f>
        <v/>
      </c>
    </row>
    <row r="200">
      <c r="A200" t="n">
        <v>80</v>
      </c>
      <c r="B200" t="inlineStr">
        <is>
          <t>Team 3</t>
        </is>
      </c>
      <c r="C200" t="n">
        <v>10</v>
      </c>
      <c r="D200">
        <f>HYPERLINK("https://www.google.com/maps/dir/12.184,75.928/12.267158,75.832173/12.264972,75.831718/12.268543,75.831304/12.268234,75.832213/12.270141,75.832658/12.266858,75.836839/12.267841,75.832812/12.261618,75.835024/12.267521,75.831784/12.261629,75.833231/12.184,75.928", "Open Route")</f>
        <v/>
      </c>
    </row>
    <row r="201">
      <c r="A201" t="n">
        <v>81</v>
      </c>
      <c r="B201" t="inlineStr">
        <is>
          <t>Team 2</t>
        </is>
      </c>
      <c r="C201" t="n">
        <v>6</v>
      </c>
      <c r="D201">
        <f>HYPERLINK("https://www.google.com/maps/dir/12.184,75.928/12.408672,75.684898/12.399179,75.680521/12.409433,75.669529/12.416067,75.676924/12.414218,75.678842/12.431096,75.680356/12.184,75.928", "Open Route")</f>
        <v/>
      </c>
    </row>
    <row r="202">
      <c r="A202" t="n">
        <v>81</v>
      </c>
      <c r="B202" t="inlineStr">
        <is>
          <t>Team 3</t>
        </is>
      </c>
      <c r="C202" t="n">
        <v>10</v>
      </c>
      <c r="D202">
        <f>HYPERLINK("https://www.google.com/maps/dir/12.184,75.928/12.022901,75.989143/12.021895,75.988979/12.022434,75.989385/12.022136,75.988719/12.022245,75.988803/12.020632,75.992541/12.020629,75.991229/12.027146,75.990373/12.027252,75.993858/12.025891,75.991847/12.184,75.928", "Open Route")</f>
        <v/>
      </c>
    </row>
    <row r="203">
      <c r="A203" t="n">
        <v>82</v>
      </c>
      <c r="B203" t="inlineStr">
        <is>
          <t>Team 1</t>
        </is>
      </c>
      <c r="C203" t="n">
        <v>10</v>
      </c>
      <c r="D203">
        <f>HYPERLINK("https://www.google.com/maps/dir/12.184,75.928/12.30672,75.9538/12.304177,75.953505/12.30614,75.95382/12.304209,75.952624/12.30574,75.95154/12.304099,75.953206/12.306133,75.953681/12.30565,75.953744/12.30569,75.95247/12.30602,75.95446/12.184,75.928", "Open Route")</f>
        <v/>
      </c>
    </row>
    <row r="204">
      <c r="A204" t="n">
        <v>82</v>
      </c>
      <c r="B204" t="inlineStr">
        <is>
          <t>Team 3</t>
        </is>
      </c>
      <c r="C204" t="n">
        <v>10</v>
      </c>
      <c r="D204">
        <f>HYPERLINK("https://www.google.com/maps/dir/12.184,75.928/12.04383,75.907822/12.04423,75.917456/12.04166,75.911509/12.046922,75.909611/12.040887,75.919038/12.043734,75.90788/12.043735,75.907888/12.041383,75.911425/12.046249,75.910326/12.046656,75.908978/12.184,75.928", "Open Route")</f>
        <v/>
      </c>
    </row>
    <row r="205">
      <c r="A205" t="n">
        <v>83</v>
      </c>
      <c r="B205" t="inlineStr">
        <is>
          <t>Team 1</t>
        </is>
      </c>
      <c r="C205" t="n">
        <v>10</v>
      </c>
      <c r="D205">
        <f>HYPERLINK("https://www.google.com/maps/dir/12.184,75.928/12.195508,75.924992/12.184487,75.926474/12.179807,75.915463/12.180099,75.915232/12.190364,75.914726/12.185159,75.921007/12.169981,75.922529/12.163523,75.930846/12.170374,75.937928/12.183818,75.929608/12.184,75.928", "Open Route")</f>
        <v/>
      </c>
    </row>
    <row r="206">
      <c r="A206" t="n">
        <v>83</v>
      </c>
      <c r="B206" t="inlineStr">
        <is>
          <t>Team 2</t>
        </is>
      </c>
      <c r="C206" t="n">
        <v>2</v>
      </c>
      <c r="D206">
        <f>HYPERLINK("https://www.google.com/maps/dir/12.184,75.928/12.33128,75.704152/12.31786,75.720266/12.184,75.928", "Open Route")</f>
        <v/>
      </c>
    </row>
    <row r="207">
      <c r="A207" t="n">
        <v>83</v>
      </c>
      <c r="B207" t="inlineStr">
        <is>
          <t>Team 3</t>
        </is>
      </c>
      <c r="C207" t="n">
        <v>9</v>
      </c>
      <c r="D207">
        <f>HYPERLINK("https://www.google.com/maps/dir/12.184,75.928/12.263711,75.656238/12.262491,75.655452/12.265309,75.651135/12.265591,75.654521/12.265641,75.655505/12.264756,75.653572/12.263486,75.654037/12.259022,75.653954/12.264366,75.6548115/12.184,75.928", "Open Route")</f>
        <v/>
      </c>
    </row>
    <row r="208">
      <c r="A208" t="n">
        <v>84</v>
      </c>
      <c r="B208" t="inlineStr">
        <is>
          <t>Team 2</t>
        </is>
      </c>
      <c r="C208" t="n">
        <v>10</v>
      </c>
      <c r="D208">
        <f>HYPERLINK("https://www.google.com/maps/dir/12.184,75.928/12.121216,75.924368/12.105743,75.917407/12.125455,75.925184/12.125453,75.925176/12.095239,75.927466/12.079711,75.941104/12.073243,75.942052/12.080839,75.949574/12.083981,75.946698/12.08121,75.942757/12.184,75.928", "Open Route")</f>
        <v/>
      </c>
    </row>
    <row r="209">
      <c r="A209" t="n">
        <v>84</v>
      </c>
      <c r="B209" t="inlineStr">
        <is>
          <t>Team 3</t>
        </is>
      </c>
      <c r="C209" t="n">
        <v>10</v>
      </c>
      <c r="D209">
        <f>HYPERLINK("https://www.google.com/maps/dir/12.184,75.928/12.460174,75.763196/12.457574,75.764961/12.46092,75.765881/12.462121,75.763741/12.462335,75.762691/12.452708,75.773474/12.461341,75.769517/12.452182,75.769289/12.461405,75.769218/12.460539,75.762651/12.184,75.928", "Open Route")</f>
        <v/>
      </c>
    </row>
    <row r="210">
      <c r="A210" t="n">
        <v>85</v>
      </c>
      <c r="B210" t="inlineStr">
        <is>
          <t>Team 1</t>
        </is>
      </c>
      <c r="C210" t="n">
        <v>9</v>
      </c>
      <c r="D210">
        <f>HYPERLINK("https://www.google.com/maps/dir/12.184,75.928/12.042808,75.922513/12.048788,75.92247/12.044434,75.92136/12.046444,75.921053/12.048851,75.922111/12.048525,75.920553/12.043957,75.921018/12.049898,75.920716/12.046087,75.921542/12.184,75.928", "Open Route")</f>
        <v/>
      </c>
    </row>
    <row r="211">
      <c r="A211" t="n">
        <v>85</v>
      </c>
      <c r="B211" t="inlineStr">
        <is>
          <t>Team 2</t>
        </is>
      </c>
      <c r="C211" t="n">
        <v>10</v>
      </c>
      <c r="D211">
        <f>HYPERLINK("https://www.google.com/maps/dir/12.184,75.928/12.2885585,75.9546926/12.28929,75.953033/12.2880966,75.9544234/12.289277,75.955483/12.289052,75.953117/12.2890529,75.9527816/12.289151,75.955343/12.28632,75.95228/12.301851,75.958096/12.300468,75.95214/12.184,75.928", "Open Route")</f>
        <v/>
      </c>
    </row>
    <row r="212">
      <c r="A212" t="n">
        <v>85</v>
      </c>
      <c r="B212" t="inlineStr">
        <is>
          <t>Team 3</t>
        </is>
      </c>
      <c r="C212" t="n">
        <v>10</v>
      </c>
      <c r="D212">
        <f>HYPERLINK("https://www.google.com/maps/dir/12.184,75.928/12.314156,75.875526/12.308326,75.877893/12.30616,75.87972/12.300441,75.871508/12.30772222,75.861/12.31471,75.859884/12.310602,75.855599/12.314663,75.859666/12.314531,75.85987/12.30902,75.8559/12.184,75.928", "Open Route")</f>
        <v/>
      </c>
    </row>
    <row r="213">
      <c r="A213" t="n">
        <v>86</v>
      </c>
      <c r="B213" t="inlineStr">
        <is>
          <t>Team 1</t>
        </is>
      </c>
      <c r="C213" t="n">
        <v>10</v>
      </c>
      <c r="D213">
        <f>HYPERLINK("https://www.google.com/maps/dir/12.184,75.928/12.125112,75.889833/12.1279616,75.88629/12.125713,75.8899/12.1261011,75.890089/12.126117,75.89155/12.121435,75.87889/12.116266,75.887218/12.1233764,75.8917861/12.126002,75.890931/12.1254884,75.8906301/12.184,75.928", "Open Route")</f>
        <v/>
      </c>
    </row>
    <row r="214">
      <c r="A214" t="n">
        <v>86</v>
      </c>
      <c r="B214" t="inlineStr">
        <is>
          <t>Team 2</t>
        </is>
      </c>
      <c r="C214" t="n">
        <v>10</v>
      </c>
      <c r="D214">
        <f>HYPERLINK("https://www.google.com/maps/dir/12.184,75.928/12.045048,75.952831/12.043925,75.952314/12.042175,75.954828/12.046556,75.957349/12.033165,75.961724/12.034368,75.964059/12.038652,75.972991/12.040101,75.969339/12.039961,75.969373/12.047291,75.959237/12.184,75.928", "Open Route")</f>
        <v/>
      </c>
    </row>
    <row r="215">
      <c r="A215" t="n">
        <v>86</v>
      </c>
      <c r="B215" t="inlineStr">
        <is>
          <t>Team 3</t>
        </is>
      </c>
      <c r="C215" t="n">
        <v>10</v>
      </c>
      <c r="D215">
        <f>HYPERLINK("https://www.google.com/maps/dir/12.184,75.928/12.135002,75.834314/12.171111,75.808654/12.170644,75.807834/12.1596741,75.798735/12.1641676,75.7980085/12.15015,75.7965554/12.157981,75.808786/12.158801,75.806666/12.158061,75.804221/12.152044,75.7994615/12.184,75.928", "Open Route")</f>
        <v/>
      </c>
    </row>
    <row r="216">
      <c r="A216" t="n">
        <v>87</v>
      </c>
      <c r="B216" t="inlineStr">
        <is>
          <t>Team 1</t>
        </is>
      </c>
      <c r="C216" t="n">
        <v>9</v>
      </c>
      <c r="D216">
        <f>HYPERLINK("https://www.google.com/maps/dir/12.184,75.928/12.003318,75.996419/12.008811,75.992908/12.002224,75.996392/12.000342,76.005011/11.997001,76.008299/11.998662,76.004251/12.013689,75.998609/12.009722,75.992974/12.00196,76.00086/12.184,75.928", "Open Route")</f>
        <v/>
      </c>
    </row>
    <row r="217">
      <c r="A217" t="n">
        <v>87</v>
      </c>
      <c r="B217" t="inlineStr">
        <is>
          <t>Team 2</t>
        </is>
      </c>
      <c r="C217" t="n">
        <v>10</v>
      </c>
      <c r="D217">
        <f>HYPERLINK("https://www.google.com/maps/dir/12.184,75.928/12.548943,75.796952/12.55277,75.80167/12.55302,75.80125/12.55415,75.79531/12.549566,75.816534/12.549567,75.816535/12.56105,75.827965/12.561227,75.82786/12.572556,75.847338/12.576079,75.839973/12.184,75.928", "Open Route")</f>
        <v/>
      </c>
    </row>
    <row r="218">
      <c r="A218" t="n">
        <v>87</v>
      </c>
      <c r="B218" t="inlineStr">
        <is>
          <t>Team 3</t>
        </is>
      </c>
      <c r="C218" t="n">
        <v>8</v>
      </c>
      <c r="D218">
        <f>HYPERLINK("https://www.google.com/maps/dir/12.184,75.928/11.969173,76.053291/11.971684,76.047959/11.958804,76.033463/11.961308,76.038213/11.9687613,76.0432132/11.967177,76.034037/11.969738,76.033866/11.977064,76.033472/12.184,75.928", "Open Route")</f>
        <v/>
      </c>
    </row>
    <row r="219">
      <c r="A219" t="n">
        <v>88</v>
      </c>
      <c r="B219" t="inlineStr">
        <is>
          <t>Team 1</t>
        </is>
      </c>
      <c r="C219" t="n">
        <v>10</v>
      </c>
      <c r="D219">
        <f>HYPERLINK("https://www.google.com/maps/dir/12.184,75.928/12.33874,75.78376/12.340817,75.794827/12.33647,75.78536/12.337408,75.782008/12.33687,75.78286/12.33634,75.78649/12.33633,75.78803/12.336381,75.782792/12.33744,75.78217/12.33645,75.78611/12.184,75.928", "Open Route")</f>
        <v/>
      </c>
    </row>
    <row r="220">
      <c r="A220" t="n">
        <v>88</v>
      </c>
      <c r="B220" t="inlineStr">
        <is>
          <t>Team 2</t>
        </is>
      </c>
      <c r="C220" t="n">
        <v>10</v>
      </c>
      <c r="D220">
        <f>HYPERLINK("https://www.google.com/maps/dir/12.184,75.928/12.425009,75.80868/12.423943,75.801216/12.435984,75.7997354/12.440065,75.80775/12.439978,75.807498/12.443775,75.804047/12.439146,75.802842/12.437735,75.799516/12.4426595,75.7966376/12.423708,75.821479/12.184,75.928", "Open Route")</f>
        <v/>
      </c>
    </row>
    <row r="221">
      <c r="A221" t="n">
        <v>88</v>
      </c>
      <c r="B221" t="inlineStr">
        <is>
          <t>Team 3</t>
        </is>
      </c>
      <c r="C221" t="n">
        <v>9</v>
      </c>
      <c r="D221">
        <f>HYPERLINK("https://www.google.com/maps/dir/12.184,75.928/12.081635,75.914957/12.076822,75.919224/12.089484,75.914311/12.079773,75.915862/12.083172,75.918199/12.075242,75.920501/12.080489,75.917335/12.105723,75.917183/12.101103,75.91798/12.184,75.928", "Open Route")</f>
        <v/>
      </c>
    </row>
    <row r="222">
      <c r="A222" t="n">
        <v>89</v>
      </c>
      <c r="B222" t="inlineStr">
        <is>
          <t>Team 1</t>
        </is>
      </c>
      <c r="C222" t="n">
        <v>10</v>
      </c>
      <c r="D222">
        <f>HYPERLINK("https://www.google.com/maps/dir/12.184,75.928/11.996844,76.022523/11.9892079,76.0198696/11.98982611,76.0198066/11.989826,76.01980057/11.989827,76.019801/11.988,76.0183/11.98854,76.016772/11.9844475,76.0201278/11.98478431,76.0208225/11.98587,76.021827/12.184,75.928", "Open Route")</f>
        <v/>
      </c>
    </row>
    <row r="223">
      <c r="A223" t="n">
        <v>89</v>
      </c>
      <c r="B223" t="inlineStr">
        <is>
          <t>Team 2</t>
        </is>
      </c>
      <c r="C223" t="n">
        <v>10</v>
      </c>
      <c r="D223">
        <f>HYPERLINK("https://www.google.com/maps/dir/12.184,75.928/12.379368,75.894878/12.376968,75.888612/12.38118871,75.8819953/12.378586,75.888158/12.38110436,75.88173635/12.381396,75.883784/12.372806,75.892847/12.369156,75.89469/12.376578,75.887787/12.36777,75.88972/12.184,75.928", "Open Route")</f>
        <v/>
      </c>
    </row>
    <row r="224">
      <c r="A224" t="n">
        <v>89</v>
      </c>
      <c r="B224" t="inlineStr">
        <is>
          <t>Team 3</t>
        </is>
      </c>
      <c r="C224" t="n">
        <v>10</v>
      </c>
      <c r="D224">
        <f>HYPERLINK("https://www.google.com/maps/dir/12.184,75.928/12.371584,75.618282/12.370171,75.551984/12.384804,75.550009/12.385582,75.550176/12.401451,75.509134/12.406854,75.51603/12.362562,75.545272/12.370506,75.54971/12.375688,75.61992/12.372078,75.618433/12.184,75.928", "Open Route")</f>
        <v/>
      </c>
    </row>
    <row r="225">
      <c r="A225" t="n">
        <v>90</v>
      </c>
      <c r="B225" t="inlineStr">
        <is>
          <t>Team 1</t>
        </is>
      </c>
      <c r="C225" t="n">
        <v>10</v>
      </c>
      <c r="D225">
        <f>HYPERLINK("https://www.google.com/maps/dir/12.184,75.928/12.1139,75.8534/12.12827,75.84789/12.116421,75.852166/12.12267,75.84662/12.118457,75.853885/12.12795,75.84784/12.120863,75.85369/12.1203646,75.8501529/12.126959,75.847383/12.12998,75.84653/12.184,75.928", "Open Route")</f>
        <v/>
      </c>
    </row>
    <row r="226">
      <c r="A226" t="n">
        <v>90</v>
      </c>
      <c r="B226" t="inlineStr">
        <is>
          <t>Team 2</t>
        </is>
      </c>
      <c r="C226" t="n">
        <v>10</v>
      </c>
      <c r="D226">
        <f>HYPERLINK("https://www.google.com/maps/dir/12.184,75.928/12.177996,75.968513/12.179057,75.967393/12.177693,75.968941/12.174806,75.970231/12.175811,75.964121/12.180442,75.963822/12.179381,75.961108/12.176133,75.965573/12.173768,75.966421/12.161707,75.963711/12.184,75.928", "Open Route")</f>
        <v/>
      </c>
    </row>
    <row r="227">
      <c r="A227" t="n">
        <v>91</v>
      </c>
      <c r="B227" t="inlineStr">
        <is>
          <t>Team 1</t>
        </is>
      </c>
      <c r="C227" t="n">
        <v>10</v>
      </c>
      <c r="D227">
        <f>HYPERLINK("https://www.google.com/maps/dir/12.184,75.928/12.107277,75.880926/12.064652,75.901674/12.069514,75.914951/12.069873,75.915349/12.076082,75.898473/12.103474,75.90306/12.05342,75.92073/12.053481,75.90306/12.053446,75.908692/12.053733,75.908624/12.184,75.928", "Open Route")</f>
        <v/>
      </c>
    </row>
    <row r="228">
      <c r="A228" t="n">
        <v>91</v>
      </c>
      <c r="B228" t="inlineStr">
        <is>
          <t>Team 2</t>
        </is>
      </c>
      <c r="C228" t="n">
        <v>10</v>
      </c>
      <c r="D228">
        <f>HYPERLINK("https://www.google.com/maps/dir/12.184,75.928/12.3399412,75.7951645/12.322271,75.795602/12.31855,75.80172/12.318521,75.79764/12.32297,75.79886/12.32228,75.79834/12.318799,75.797229/12.3213,75.80149/12.32222,75.79884/12.319822,75.802039/12.184,75.928", "Open Route")</f>
        <v/>
      </c>
    </row>
    <row r="229">
      <c r="A229" t="n">
        <v>91</v>
      </c>
      <c r="B229" t="inlineStr">
        <is>
          <t>Team 3</t>
        </is>
      </c>
      <c r="C229" t="n">
        <v>10</v>
      </c>
      <c r="D229">
        <f>HYPERLINK("https://www.google.com/maps/dir/12.184,75.928/12.305583,75.8598159/12.331467,75.859522/12.328133,75.856762/12.331472,75.859538/12.328085,75.8587041/12.331477,75.85852/12.3280855,75.8587041/12.328115,75.859949/12.30342,75.87404/12.319237,75.882731/12.184,75.928", "Open Route")</f>
        <v/>
      </c>
    </row>
    <row r="230">
      <c r="A230" t="n">
        <v>92</v>
      </c>
      <c r="B230" t="inlineStr">
        <is>
          <t>Team 1</t>
        </is>
      </c>
      <c r="C230" t="n">
        <v>6</v>
      </c>
      <c r="D230">
        <f>HYPERLINK("https://www.google.com/maps/dir/12.184,75.928/12.4449525,75.822794/12.455537,75.808676/12.4489955,75.821644/12.448003,75.812546/12.451489,75.798521/12.4472479,75.802083/12.184,75.928", "Open Route")</f>
        <v/>
      </c>
    </row>
    <row r="231">
      <c r="A231" t="n">
        <v>92</v>
      </c>
      <c r="B231" t="inlineStr">
        <is>
          <t>Team 2</t>
        </is>
      </c>
      <c r="C231" t="n">
        <v>10</v>
      </c>
      <c r="D231">
        <f>HYPERLINK("https://www.google.com/maps/dir/12.184,75.928/12.111392,75.920286/12.112266,75.923167/12.111606,75.924987/12.105979,75.921622/12.113465,75.924783/12.105204,75.923777/12.105078,75.923378/12.109045,75.927381/12.105381,75.924588/12.112253,75.922839/12.184,75.928", "Open Route")</f>
        <v/>
      </c>
    </row>
    <row r="232">
      <c r="A232" t="n">
        <v>92</v>
      </c>
      <c r="B232" t="inlineStr">
        <is>
          <t>Team 3</t>
        </is>
      </c>
      <c r="C232" t="n">
        <v>10</v>
      </c>
      <c r="D232">
        <f>HYPERLINK("https://www.google.com/maps/dir/12.184,75.928/12.461472,75.769248/12.478957,75.766701/12.47445,75.761415/12.474042,75.761477/12.467234,75.758759/12.47288,75.756664/12.466456,75.749283/12.471686,75.75803/12.47065,75.75331/12.473979,75.75349/12.184,75.928", "Open Route")</f>
        <v/>
      </c>
    </row>
    <row r="233">
      <c r="A233" t="n">
        <v>93</v>
      </c>
      <c r="B233" t="inlineStr">
        <is>
          <t>Team 1</t>
        </is>
      </c>
      <c r="C233" t="n">
        <v>10</v>
      </c>
      <c r="D233">
        <f>HYPERLINK("https://www.google.com/maps/dir/12.184,75.928/12.34519,75.78178/12.36214,75.79126/12.361928,75.79149/12.36474,75.79078/12.3716839,75.7675254/12.3717071,75.7720955/12.3704921,75.768155/12.3742239,75.7708423/12.347211,75.791695/12.350151,75.800726/12.184,75.928", "Open Route")</f>
        <v/>
      </c>
    </row>
    <row r="234">
      <c r="A234" t="n">
        <v>93</v>
      </c>
      <c r="B234" t="inlineStr">
        <is>
          <t>Team 2</t>
        </is>
      </c>
      <c r="C234" t="n">
        <v>10</v>
      </c>
      <c r="D234">
        <f>HYPERLINK("https://www.google.com/maps/dir/12.184,75.928/11.993075,76.058807/11.976581,76.053323/11.975031,76.061194/11.975041,76.061032/11.9882151,76.06208832/11.9883454,76.0617234/11.98854314,76.0624232/11.9883243,76.0617878/11.98709123,76.06199932/11.98835432,76.0617765/12.184,75.928", "Open Route")</f>
        <v/>
      </c>
    </row>
    <row r="235">
      <c r="A235" t="n">
        <v>94</v>
      </c>
      <c r="B235" t="inlineStr">
        <is>
          <t>Team 1</t>
        </is>
      </c>
      <c r="C235" t="n">
        <v>10</v>
      </c>
      <c r="D235">
        <f>HYPERLINK("https://www.google.com/maps/dir/12.184,75.928/12.223801,75.878851/12.221358,75.880446/12.228455,75.870561/12.23083,75.87055/12.233781,75.866166/12.231231,75.877621/12.232681,75.876931/12.293932,75.857112/12.282132,75.871085/12.224958,75.884061/12.184,75.928", "Open Route")</f>
        <v/>
      </c>
    </row>
    <row r="236">
      <c r="A236" t="n">
        <v>94</v>
      </c>
      <c r="B236" t="inlineStr">
        <is>
          <t>Team 2</t>
        </is>
      </c>
      <c r="C236" t="n">
        <v>10</v>
      </c>
      <c r="D236">
        <f>HYPERLINK("https://www.google.com/maps/dir/12.184,75.928/12.020095,75.995841/12.017201,75.998943/12.017929,76.007121/12.022983,76.007823/12.016984,76.003521/12.016074,75.998928/12.014956,76.007107/12.0154811,76.0046707/12.019699,75.993331/12.028908,75.995335/12.184,75.928", "Open Route")</f>
        <v/>
      </c>
    </row>
    <row r="237">
      <c r="A237" t="n">
        <v>94</v>
      </c>
      <c r="B237" t="inlineStr">
        <is>
          <t>Team 3</t>
        </is>
      </c>
      <c r="C237" t="n">
        <v>10</v>
      </c>
      <c r="D237">
        <f>HYPERLINK("https://www.google.com/maps/dir/12.184,75.928/12.270468,75.959173/12.2748788,75.9550081/12.273555,75.953561/12.274161,75.957245/12.2906718,75.9554648/12.290872,75.955721/12.299402,75.958504/12.31197,75.96663/12.3044,75.963457/12.29641,75.95369/12.184,75.928", "Open Route")</f>
        <v/>
      </c>
    </row>
    <row r="238">
      <c r="A238" t="n">
        <v>95</v>
      </c>
      <c r="B238" t="inlineStr">
        <is>
          <t>Team 1</t>
        </is>
      </c>
      <c r="C238" t="n">
        <v>9</v>
      </c>
      <c r="D238">
        <f>HYPERLINK("https://www.google.com/maps/dir/12.184,75.928/12.049698,75.932738/12.052712,75.94348/12.05537,75.941941/12.05536,75.941941/12.061114,75.942117/12.060445,75.942151/12.053994,75.937906/12.055361,75.941941/12.0596435,75.942226/12.184,75.928", "Open Route")</f>
        <v/>
      </c>
    </row>
    <row r="239">
      <c r="A239" t="n">
        <v>95</v>
      </c>
      <c r="B239" t="inlineStr">
        <is>
          <t>Team 3</t>
        </is>
      </c>
      <c r="C239" t="n">
        <v>10</v>
      </c>
      <c r="D239">
        <f>HYPERLINK("https://www.google.com/maps/dir/12.184,75.928/12.4424296,75.8498012/12.457593,75.8398827/12.45228,75.83772/12.4583074,75.8395243/12.452795,75.831459/12.463771,75.83607/12.46486,75.84684/12.44587,75.84069/12.4512981,75.8426933/12.449658,75.84491/12.184,75.928", "Open Route")</f>
        <v/>
      </c>
    </row>
    <row r="240">
      <c r="A240" t="n">
        <v>96</v>
      </c>
      <c r="B240" t="inlineStr">
        <is>
          <t>Team 1</t>
        </is>
      </c>
      <c r="C240" t="n">
        <v>10</v>
      </c>
      <c r="D240">
        <f>HYPERLINK("https://www.google.com/maps/dir/12.184,75.928/12.003078,75.986042/12.001166,75.989346/11.995939,75.983004/11.993591,75.984587/11.99592,75.982719/11.992383,75.984159/11.99594,75.983005/11.994179,75.997299/11.987162,76.003104/12.031889,75.976405/12.184,75.928", "Open Route")</f>
        <v/>
      </c>
    </row>
    <row r="241">
      <c r="A241" t="n">
        <v>96</v>
      </c>
      <c r="B241" t="inlineStr">
        <is>
          <t>Team 2</t>
        </is>
      </c>
      <c r="C241" t="n">
        <v>10</v>
      </c>
      <c r="D241">
        <f>HYPERLINK("https://www.google.com/maps/dir/12.184,75.928/12.107311,75.892499/12.104823,75.892288/12.104051,75.892347/12.104558,75.89036/12.101706,75.89482/12.10329,75.89439/12.106307,75.89507/12.10536,75.8925/12.103271,75.89349/12.10219,75.89477/12.184,75.928", "Open Route")</f>
        <v/>
      </c>
    </row>
    <row r="242">
      <c r="A242" t="n">
        <v>96</v>
      </c>
      <c r="B242" t="inlineStr">
        <is>
          <t>Team 3</t>
        </is>
      </c>
      <c r="C242" t="n">
        <v>10</v>
      </c>
      <c r="D242">
        <f>HYPERLINK("https://www.google.com/maps/dir/12.184,75.928/12.098354,75.854972/12.128478,75.851219/12.144742,75.855854/12.126719,75.853371/12.14492,75.855457/12.148485,75.852191/12.136199,75.83937/12.136307,75.839615/12.132692,75.8365581/12.14983,75.855283/12.184,75.928", "Open Route")</f>
        <v/>
      </c>
    </row>
    <row r="243">
      <c r="A243" t="n">
        <v>97</v>
      </c>
      <c r="B243" t="inlineStr">
        <is>
          <t>Team 1</t>
        </is>
      </c>
      <c r="C243" t="n">
        <v>10</v>
      </c>
      <c r="D243">
        <f>HYPERLINK("https://www.google.com/maps/dir/12.184,75.928/12.154246,75.931977/12.1433,75.92718/12.143298,75.927119/12.143299,75.927118/12.146697,75.938522/12.140805,75.927684/12.128731,75.922652/12.13082,75.922512/12.141695,75.929988/12.150069,75.934435/12.184,75.928", "Open Route")</f>
        <v/>
      </c>
    </row>
    <row r="244">
      <c r="A244" t="n">
        <v>97</v>
      </c>
      <c r="B244" t="inlineStr">
        <is>
          <t>Team 2</t>
        </is>
      </c>
      <c r="C244" t="n">
        <v>10</v>
      </c>
      <c r="D244">
        <f>HYPERLINK("https://www.google.com/maps/dir/12.184,75.928/12.236619,75.649171/12.236971,75.651171/12.236709,75.641721/12.238558,75.644202/12.239181,75.639271/12.23317,75.64117/12.237035,75.645636/12.240632,75.644818/12.251293,75.644641/12.242497,75.650081/12.184,75.928", "Open Route")</f>
        <v/>
      </c>
    </row>
    <row r="245">
      <c r="A245" t="n">
        <v>97</v>
      </c>
      <c r="B245" t="inlineStr">
        <is>
          <t>Team 3</t>
        </is>
      </c>
      <c r="C245" t="n">
        <v>10</v>
      </c>
      <c r="D245">
        <f>HYPERLINK("https://www.google.com/maps/dir/12.184,75.928/12.113166,75.842773/12.164176,75.838325/12.164175,75.838325/12.168293,75.840202/12.167709,75.837011/12.161398,75.832532/12.16771,75.837011/12.1637,75.835201/12.167712,75.837012/12.167661,75.837158/12.184,75.928", "Open Route")</f>
        <v/>
      </c>
    </row>
    <row r="246">
      <c r="A246" t="n">
        <v>98</v>
      </c>
      <c r="B246" t="inlineStr">
        <is>
          <t>Team 1</t>
        </is>
      </c>
      <c r="C246" t="n">
        <v>10</v>
      </c>
      <c r="D246">
        <f>HYPERLINK("https://www.google.com/maps/dir/12.184,75.928/12.30446,75.954893/12.30544,75.95529/12.30081,75.94602/12.299198,75.952818/12.30575,75.95118/12.300521,75.948757/12.303673,75.948357/12.303992,75.952462/12.298315,75.954215/12.30573,75.95093/12.184,75.928", "Open Route")</f>
        <v/>
      </c>
    </row>
    <row r="247">
      <c r="A247" t="n">
        <v>98</v>
      </c>
      <c r="B247" t="inlineStr">
        <is>
          <t>Team 2</t>
        </is>
      </c>
      <c r="C247" t="n">
        <v>9</v>
      </c>
      <c r="D247">
        <f>HYPERLINK("https://www.google.com/maps/dir/12.184,75.928/12.006649,76.001427/11.998146,76.011771/12.006822,76.006219/12.003498,76.007075/12.006874,76.010941/12.005396,76.014246/12.006091,76.009618/12.008337,76.008899/12.0314188,76.01212789/12.184,75.928", "Open Route")</f>
        <v/>
      </c>
    </row>
    <row r="248">
      <c r="A248" t="n">
        <v>99</v>
      </c>
      <c r="B248" t="inlineStr">
        <is>
          <t>Team 2</t>
        </is>
      </c>
      <c r="C248" t="n">
        <v>10</v>
      </c>
      <c r="D248">
        <f>HYPERLINK("https://www.google.com/maps/dir/12.184,75.928/12.365977,75.505747/12.36818,75.503814/12.367546,75.505419/12.367482,75.502586/12.368261,75.503241/12.36546,75.504325/12.369987,75.538723/12.368781,75.539599/12.363455,75.550912/12.370087,75.554988/12.184,75.928", "Open Route")</f>
        <v/>
      </c>
    </row>
    <row r="249">
      <c r="A249" t="n">
        <v>99</v>
      </c>
      <c r="B249" t="inlineStr">
        <is>
          <t>Team 3</t>
        </is>
      </c>
      <c r="C249" t="n">
        <v>7</v>
      </c>
      <c r="D249">
        <f>HYPERLINK("https://www.google.com/maps/dir/12.184,75.928/12.393436,75.692841/12.393481,75.692746/12.401095,75.692595/12.409541,75.702181/12.408808,75.7021274/12.416764,75.6937271/12.411682,75.693069/12.184,75.928", "Open Route")</f>
        <v/>
      </c>
    </row>
    <row r="250">
      <c r="A250" t="n">
        <v>100</v>
      </c>
      <c r="B250" t="inlineStr">
        <is>
          <t>Team 2</t>
        </is>
      </c>
      <c r="C250" t="n">
        <v>10</v>
      </c>
      <c r="D250">
        <f>HYPERLINK("https://www.google.com/maps/dir/12.184,75.928/12.350155,75.640017/12.350124,75.640079/12.368602,75.576431/12.378011,75.558443/12.378364,75.558097/12.373662,75.545648/12.375987,75.545249/12.3767056,75.5338892/12.344518,75.643799/12.347775,75.644637/12.184,75.928", "Open Route")</f>
        <v/>
      </c>
    </row>
    <row r="251">
      <c r="A251" t="n">
        <v>100</v>
      </c>
      <c r="B251" t="inlineStr">
        <is>
          <t>Team 3</t>
        </is>
      </c>
      <c r="C251" t="n">
        <v>10</v>
      </c>
      <c r="D251">
        <f>HYPERLINK("https://www.google.com/maps/dir/12.184,75.928/12.364871,75.894247/12.365754,75.891971/12.368414,75.893131/12.373729,75.894079/12.373053,75.901642/12.372736,75.901876/12.370897,75.894713/12.3691,75.894346/12.369207,75.894226/12.366554,75.890441/12.184,75.928", "Open Route")</f>
        <v/>
      </c>
    </row>
    <row r="252">
      <c r="A252" t="n">
        <v>101</v>
      </c>
      <c r="B252" t="inlineStr">
        <is>
          <t>Team 2</t>
        </is>
      </c>
      <c r="C252" t="n">
        <v>10</v>
      </c>
      <c r="D252">
        <f>HYPERLINK("https://www.google.com/maps/dir/12.184,75.928/12.700881,75.896072/12.7044193,75.892933/12.701849,75.895535/12.7031862,75.8932301/12.7006435,75.892252/12.703776,75.89327/12.706556,75.89862/12.7021517,75.8962885/12.72409,75.899343/12.70386,75.92416/12.184,75.928", "Open Route")</f>
        <v/>
      </c>
    </row>
    <row r="253">
      <c r="A253" t="n">
        <v>101</v>
      </c>
      <c r="B253" t="inlineStr">
        <is>
          <t>Team 3</t>
        </is>
      </c>
      <c r="C253" t="n">
        <v>10</v>
      </c>
      <c r="D253">
        <f>HYPERLINK("https://www.google.com/maps/dir/12.184,75.928/12.303115,75.944317/12.31218,75.93658/12.313224,75.944057/12.311994,75.936719/12.3164339,75.9345298/12.316749,75.934847/12.312621,75.934634/12.313917,75.936485/12.31281,75.93561/12.317087,75.937365/12.184,75.928", "Open Route")</f>
        <v/>
      </c>
    </row>
    <row r="254">
      <c r="A254" t="n">
        <v>102</v>
      </c>
      <c r="B254" t="inlineStr">
        <is>
          <t>Team 1</t>
        </is>
      </c>
      <c r="C254" t="n">
        <v>10</v>
      </c>
      <c r="D254">
        <f>HYPERLINK("https://www.google.com/maps/dir/12.184,75.928/12.11788,75.89823/12.119327,75.893982/12.116752,75.887229/12.115761,75.893672/12.107867,75.892488/12.113896,75.884802/12.112565,75.898241/12.117852,75.897514/12.116973,75.901604/12.113551,75.902116/12.184,75.928", "Open Route")</f>
        <v/>
      </c>
    </row>
    <row r="255">
      <c r="A255" t="n">
        <v>102</v>
      </c>
      <c r="B255" t="inlineStr">
        <is>
          <t>Team 2</t>
        </is>
      </c>
      <c r="C255" t="n">
        <v>10</v>
      </c>
      <c r="D255">
        <f>HYPERLINK("https://www.google.com/maps/dir/12.184,75.928/12.441998,75.75043/12.4410653,75.7621653/12.4415269,75.762225/12.4408305,75.7624292/12.45241,75.759459/12.450066,75.756614/12.452592,75.759811/12.44812,75.7781/12.449219,75.770215/12.449151,75.770527/12.184,75.928", "Open Route")</f>
        <v/>
      </c>
    </row>
    <row r="256">
      <c r="A256" t="n">
        <v>103</v>
      </c>
      <c r="B256" t="inlineStr">
        <is>
          <t>Team 1</t>
        </is>
      </c>
      <c r="C256" t="n">
        <v>10</v>
      </c>
      <c r="D256">
        <f>HYPERLINK("https://www.google.com/maps/dir/12.184,75.928/12.268949,75.660206/12.270673,75.657577/12.272471,75.658968/12.273318,75.660928/12.268423,75.659463/12.269452,75.661483/12.269911,75.657391/12.271127,75.657706/12.270651,75.657573/12.267631,75.658763/12.184,75.928", "Open Route")</f>
        <v/>
      </c>
    </row>
    <row r="257">
      <c r="A257" t="n">
        <v>103</v>
      </c>
      <c r="B257" t="inlineStr">
        <is>
          <t>Team 2</t>
        </is>
      </c>
      <c r="C257" t="n">
        <v>10</v>
      </c>
      <c r="D257">
        <f>HYPERLINK("https://www.google.com/maps/dir/12.184,75.928/12.052246,75.828355/12.051962,75.829765/12.055078,75.829977/12.05672,75.831737/12.056043,75.835737/12.051967,75.829765/12.050752,75.82981/12.053382,75.827171/12.050751,75.82981/12.0534,75.82717/12.184,75.928", "Open Route")</f>
        <v/>
      </c>
    </row>
    <row r="258">
      <c r="A258" t="n">
        <v>103</v>
      </c>
      <c r="B258" t="inlineStr">
        <is>
          <t>Team 3</t>
        </is>
      </c>
      <c r="C258" t="n">
        <v>7</v>
      </c>
      <c r="D258">
        <f>HYPERLINK("https://www.google.com/maps/dir/12.184,75.928/12.180724,75.985169/12.176068,75.973179/12.178335,75.975593/12.205194,75.976227/12.190005,75.968711/12.195004,75.968767/12.200939,75.965056/12.184,75.928", "Open Route")</f>
        <v/>
      </c>
    </row>
    <row r="259">
      <c r="A259" t="n">
        <v>104</v>
      </c>
      <c r="B259" t="inlineStr">
        <is>
          <t>Team 1</t>
        </is>
      </c>
      <c r="C259" t="n">
        <v>10</v>
      </c>
      <c r="D259">
        <f>HYPERLINK("https://www.google.com/maps/dir/12.184,75.928/12.097176,75.915253/12.09697,75.910046/12.094352,75.916535/12.089967,75.913106/12.099526,75.911155/12.10412,75.924377/12.111249,75.918781/12.116559,75.911009/12.116558,75.911008/12.094702,75.920573/12.184,75.928", "Open Route")</f>
        <v/>
      </c>
    </row>
    <row r="260">
      <c r="A260" t="n">
        <v>104</v>
      </c>
      <c r="B260" t="inlineStr">
        <is>
          <t>Team 2</t>
        </is>
      </c>
      <c r="C260" t="n">
        <v>2</v>
      </c>
      <c r="D260">
        <f>HYPERLINK("https://www.google.com/maps/dir/12.184,75.928/12.15621,75.74609/12.15228,75.76476/12.184,75.928", "Open Route")</f>
        <v/>
      </c>
    </row>
    <row r="261">
      <c r="A261" t="n">
        <v>105</v>
      </c>
      <c r="B261" t="inlineStr">
        <is>
          <t>Team 1</t>
        </is>
      </c>
      <c r="C261" t="n">
        <v>10</v>
      </c>
      <c r="D261">
        <f>HYPERLINK("https://www.google.com/maps/dir/12.184,75.928/12.364792,75.54611/12.365507,75.546333/12.36512,75.546264/12.365788,75.546541/12.365248,75.545861/12.368221,75.546761/12.368913,75.546649/12.368338,75.546471/12.368382,75.546218/12.366082,75.549098/12.184,75.928", "Open Route")</f>
        <v/>
      </c>
    </row>
    <row r="262">
      <c r="A262" t="n">
        <v>105</v>
      </c>
      <c r="B262" t="inlineStr">
        <is>
          <t>Team 2</t>
        </is>
      </c>
      <c r="C262" t="n">
        <v>10</v>
      </c>
      <c r="D262">
        <f>HYPERLINK("https://www.google.com/maps/dir/12.184,75.928/12.314845,75.781994/12.336762,75.750205/12.341055,75.736901/12.341234,75.728098/12.3441988,75.72013184/12.3448554,75.72137059/12.34434,75.71824/12.34408,75.71935/12.3439389,75.72134708/12.341526,75.735398/12.184,75.928", "Open Route")</f>
        <v/>
      </c>
    </row>
    <row r="263">
      <c r="A263" t="n">
        <v>105</v>
      </c>
      <c r="B263" t="inlineStr">
        <is>
          <t>Team 3</t>
        </is>
      </c>
      <c r="C263" t="n">
        <v>10</v>
      </c>
      <c r="D263">
        <f>HYPERLINK("https://www.google.com/maps/dir/12.184,75.928/12.300398,75.886004/12.30733,75.87968/12.30739,75.87986/12.3073,75.88031/12.297886,75.880063/12.297611,75.88334/12.300289,75.883181/12.2980121,75.8842972/12.299244,75.882386/12.298181,75.88435/12.184,75.928", "Open Route")</f>
        <v/>
      </c>
    </row>
    <row r="264">
      <c r="A264" t="n">
        <v>106</v>
      </c>
      <c r="B264" t="inlineStr">
        <is>
          <t>Team 1</t>
        </is>
      </c>
      <c r="C264" t="n">
        <v>9</v>
      </c>
      <c r="D264">
        <f>HYPERLINK("https://www.google.com/maps/dir/12.184,75.928/12.358225,75.832678/12.400106,75.805924/12.370911,75.841596/12.40259,75.83581/12.403937,75.792362/12.402418,75.798058/12.399739,75.790681/12.3599208,75.8145073/12.3421639,75.8295129/12.184,75.928", "Open Route")</f>
        <v/>
      </c>
    </row>
    <row r="265">
      <c r="A265" t="n">
        <v>106</v>
      </c>
      <c r="B265" t="inlineStr">
        <is>
          <t>Team 2</t>
        </is>
      </c>
      <c r="C265" t="n">
        <v>10</v>
      </c>
      <c r="D265">
        <f>HYPERLINK("https://www.google.com/maps/dir/12.184,75.928/12.376042,75.899694/12.377847,75.899434/12.380507,75.897511/12.379004,75.901178/12.378701,75.901239/12.379082,75.901367/12.379794,75.902635/12.372674,75.901565/12.372894,75.901562/12.37362,75.894996/12.184,75.928", "Open Route")</f>
        <v/>
      </c>
    </row>
    <row r="266">
      <c r="A266" t="n">
        <v>107</v>
      </c>
      <c r="B266" t="inlineStr">
        <is>
          <t>Team 1</t>
        </is>
      </c>
      <c r="C266" t="n">
        <v>6</v>
      </c>
      <c r="D266">
        <f>HYPERLINK("https://www.google.com/maps/dir/12.184,75.928/12.117777,76.032938/12.106571,76.037693/12.108921,76.050388/12.110071,76.048608/12.105278,76.051672/12.118383,76.047957/12.184,75.928", "Open Route")</f>
        <v/>
      </c>
    </row>
    <row r="267">
      <c r="A267" t="n">
        <v>107</v>
      </c>
      <c r="B267" t="inlineStr">
        <is>
          <t>Team 2</t>
        </is>
      </c>
      <c r="C267" t="n">
        <v>10</v>
      </c>
      <c r="D267">
        <f>HYPERLINK("https://www.google.com/maps/dir/12.184,75.928/12.020201,75.866278/12.025305,75.869912/12.027618,75.866928/12.030159,75.862261/12.029079,75.863903/12.029441,75.864091/12.027665,75.868121/12.028899,75.865304/12.030927,75.863133/12.028502,75.867357/12.184,75.928", "Open Route")</f>
        <v/>
      </c>
    </row>
    <row r="268">
      <c r="A268" t="n">
        <v>107</v>
      </c>
      <c r="B268" t="inlineStr">
        <is>
          <t>Team 3</t>
        </is>
      </c>
      <c r="C268" t="n">
        <v>10</v>
      </c>
      <c r="D268">
        <f>HYPERLINK("https://www.google.com/maps/dir/12.184,75.928/12.2761268,75.6529934/12.274958,75.649227/12.27885,75.651357/12.279231,75.650509/12.272892,75.646659/12.272573,75.657118/12.277715,75.651586/12.276177,75.650095/12.276243,75.654358/12.276269,75.64538/12.184,75.928", "Open Route")</f>
        <v/>
      </c>
    </row>
    <row r="269">
      <c r="A269" t="n">
        <v>108</v>
      </c>
      <c r="B269" t="inlineStr">
        <is>
          <t>Team 2</t>
        </is>
      </c>
      <c r="C269" t="n">
        <v>10</v>
      </c>
      <c r="D269">
        <f>HYPERLINK("https://www.google.com/maps/dir/12.184,75.928/12.316262,76.030206/12.315678,76.01931/12.316581,76.03031/12.3353934,76.0364863/12.307387,76.023873/12.314762,76.029317/12.312337,76.026387/12.317519,76.028151/12.30143,76.014564/12.309278,76.027374/12.184,75.928", "Open Route")</f>
        <v/>
      </c>
    </row>
    <row r="270">
      <c r="A270" t="n">
        <v>108</v>
      </c>
      <c r="B270" t="inlineStr">
        <is>
          <t>Team 3</t>
        </is>
      </c>
      <c r="C270" t="n">
        <v>5</v>
      </c>
      <c r="D270">
        <f>HYPERLINK("https://www.google.com/maps/dir/12.184,75.928/12.154844,75.952355/12.171699,75.952373/12.205748,75.951561/12.190664,75.951332/12.197541,75.952806/12.184,75.928", "Open Route")</f>
        <v/>
      </c>
    </row>
    <row r="271">
      <c r="A271" t="n">
        <v>109</v>
      </c>
      <c r="B271" t="inlineStr">
        <is>
          <t>Team 1</t>
        </is>
      </c>
      <c r="C271" t="n">
        <v>10</v>
      </c>
      <c r="D271">
        <f>HYPERLINK("https://www.google.com/maps/dir/12.184,75.928/12.30224576,75.818324/12.309093,75.821666/12.28369,75.82783/12.258956,75.783701/12.25603,75.778553/12.256522,75.782843/12.286464,75.790683/12.31319,75.814876/12.322335,75.823797/12.319615,75.851046/12.184,75.928", "Open Route")</f>
        <v/>
      </c>
    </row>
    <row r="272">
      <c r="A272" t="n">
        <v>109</v>
      </c>
      <c r="B272" t="inlineStr">
        <is>
          <t>Team 2</t>
        </is>
      </c>
      <c r="C272" t="n">
        <v>10</v>
      </c>
      <c r="D272">
        <f>HYPERLINK("https://www.google.com/maps/dir/12.184,75.928/12.349369,75.827376/12.350644,75.842864/12.374033,75.854573/12.341294,75.864514/12.345669,75.863947/12.340439,75.867709/12.341784,75.865523/12.340124,75.865845/12.31654,75.886806/12.3059,75.89565/12.184,75.928", "Open Route")</f>
        <v/>
      </c>
    </row>
    <row r="273">
      <c r="A273" t="n">
        <v>109</v>
      </c>
      <c r="B273" t="inlineStr">
        <is>
          <t>Team 3</t>
        </is>
      </c>
      <c r="C273" t="n">
        <v>10</v>
      </c>
      <c r="D273">
        <f>HYPERLINK("https://www.google.com/maps/dir/12.184,75.928/12.369549,75.549875/12.394604,75.541246/12.39894,75.524142/12.401609,75.521774/12.400648,75.524351/12.397625,75.5372/12.397779,75.534894/12.385622,75.534157/12.369653,75.540185/12.371626,75.54266/12.184,75.928", "Open Route")</f>
        <v/>
      </c>
    </row>
    <row r="274">
      <c r="A274" t="n">
        <v>110</v>
      </c>
      <c r="B274" t="inlineStr">
        <is>
          <t>Team 1</t>
        </is>
      </c>
      <c r="C274" t="n">
        <v>8</v>
      </c>
      <c r="D274">
        <f>HYPERLINK("https://www.google.com/maps/dir/12.184,75.928/12.094929,75.937647/12.086889,75.928063/12.084847,75.929953/12.088198,75.926905/12.086644,75.929604/12.081882,75.929167/12.0848622,75.9296438/12.094825,75.935445/12.184,75.928", "Open Route")</f>
        <v/>
      </c>
    </row>
    <row r="275">
      <c r="A275" t="n">
        <v>110</v>
      </c>
      <c r="B275" t="inlineStr">
        <is>
          <t>Team 2</t>
        </is>
      </c>
      <c r="C275" t="n">
        <v>10</v>
      </c>
      <c r="D275">
        <f>HYPERLINK("https://www.google.com/maps/dir/12.184,75.928/12.294,75.7145/12.279841,75.691803/12.306394,75.684277/12.308528,75.68835/12.307027,75.68772/12.302372,75.703018/12.31908,75.684236/12.325521,75.682226/12.325379,75.681986/12.29182,75.738366/12.184,75.928", "Open Route")</f>
        <v/>
      </c>
    </row>
    <row r="276">
      <c r="A276" t="n">
        <v>110</v>
      </c>
      <c r="B276" t="inlineStr">
        <is>
          <t>Team 3</t>
        </is>
      </c>
      <c r="C276" t="n">
        <v>10</v>
      </c>
      <c r="D276">
        <f>HYPERLINK("https://www.google.com/maps/dir/12.184,75.928/12.252938,75.823651/12.251638,75.826354/12.262129,75.829408/12.251475,75.824175/12.246606,75.828738/12.2448541,75.824483/12.245392,75.825743/12.245986,75.826924/12.243903,75.826196/12.24415,75.823536/12.184,75.928", "Open Route")</f>
        <v/>
      </c>
    </row>
    <row r="277">
      <c r="A277" t="n">
        <v>111</v>
      </c>
      <c r="B277" t="inlineStr">
        <is>
          <t>Team 1</t>
        </is>
      </c>
      <c r="C277" t="n">
        <v>9</v>
      </c>
      <c r="D277">
        <f>HYPERLINK("https://www.google.com/maps/dir/12.184,75.928/12.380551,75.711102/12.3802082,75.70599133/12.377063,75.708285/12.378843,75.711177/12.3852207,75.70088711/12.3850976,75.70107873/12.3801249,75.70727082/12.3916,75.71372/12.376447,75.724437/12.184,75.928", "Open Route")</f>
        <v/>
      </c>
    </row>
    <row r="278">
      <c r="A278" t="n">
        <v>111</v>
      </c>
      <c r="B278" t="inlineStr">
        <is>
          <t>Team 2</t>
        </is>
      </c>
      <c r="C278" t="n">
        <v>10</v>
      </c>
      <c r="D278">
        <f>HYPERLINK("https://www.google.com/maps/dir/12.184,75.928/12.34974,75.79411/12.35035,75.794637/12.348856,75.798362/12.350348,75.793733/12.35018,75.79388/12.36131,75.80415/12.35311,75.80727/12.347481,75.807481/12.357605,75.821723/12.35148,75.821343/12.184,75.928", "Open Route")</f>
        <v/>
      </c>
    </row>
    <row r="279">
      <c r="A279" t="n">
        <v>111</v>
      </c>
      <c r="B279" t="inlineStr">
        <is>
          <t>Team 3</t>
        </is>
      </c>
      <c r="C279" t="n">
        <v>10</v>
      </c>
      <c r="D279">
        <f>HYPERLINK("https://www.google.com/maps/dir/12.184,75.928/12.423887,75.709941/12.423425,75.709645/12.425761,75.708902/12.424799,75.709359/12.426024,75.709252/12.424475,75.709483/12.417918,75.714825/12.428298,75.701522/12.428784,75.701372/12.420054,75.709193/12.184,75.928", "Open Route")</f>
        <v/>
      </c>
    </row>
    <row r="280">
      <c r="A280" t="n">
        <v>112</v>
      </c>
      <c r="B280" t="inlineStr">
        <is>
          <t>Team 1</t>
        </is>
      </c>
      <c r="C280" t="n">
        <v>10</v>
      </c>
      <c r="D280">
        <f>HYPERLINK("https://www.google.com/maps/dir/12.184,75.928/12.401872,75.511428/12.402824,75.51514/12.401832,75.509849/12.4014,75.51139/12.402746,75.515033/12.401145,75.510479/12.406535,75.515289/12.408615,75.513541/12.404313,75.523958/12.369406,75.550745/12.184,75.928", "Open Route")</f>
        <v/>
      </c>
    </row>
    <row r="281">
      <c r="A281" t="n">
        <v>112</v>
      </c>
      <c r="B281" t="inlineStr">
        <is>
          <t>Team 2</t>
        </is>
      </c>
      <c r="C281" t="n">
        <v>10</v>
      </c>
      <c r="D281">
        <f>HYPERLINK("https://www.google.com/maps/dir/12.184,75.928/11.985231,75.997054/11.9808575,76.0102516/11.974782,76.006416/11.975861,76.006306/11.986125,76.015498/11.971958,76.007724/11.972071,76.00768/11.973236,76.011441/11.990617,76.007968/11.998485,76.016371/12.184,75.928", "Open Route")</f>
        <v/>
      </c>
    </row>
    <row r="282">
      <c r="A282" t="n">
        <v>112</v>
      </c>
      <c r="B282" t="inlineStr">
        <is>
          <t>Team 3</t>
        </is>
      </c>
      <c r="C282" t="n">
        <v>10</v>
      </c>
      <c r="D282">
        <f>HYPERLINK("https://www.google.com/maps/dir/12.184,75.928/12.331632,75.916187/12.331157,75.91602/12.330698,75.916623/12.311334,75.933879/12.314993,75.941232/12.309468,75.934893/12.333927,75.922795/12.330697,75.916621/12.31239,75.96702/12.31239,75.96695/12.184,75.928", "Open Route")</f>
        <v/>
      </c>
    </row>
    <row r="283">
      <c r="A283" t="n">
        <v>113</v>
      </c>
      <c r="B283" t="inlineStr">
        <is>
          <t>Team 3</t>
        </is>
      </c>
      <c r="C283" t="n">
        <v>8</v>
      </c>
      <c r="D283">
        <f>HYPERLINK("https://www.google.com/maps/dir/12.184,75.928/12.3504145,76.004399/12.35917,76.010943/12.348597,76.004461/12.341617,76.013019/12.34425,76.00534/12.3354737,76.009982/12.334937,76.00322/12.318005,75.959177/12.184,75.928", "Open Route")</f>
        <v/>
      </c>
    </row>
    <row r="284">
      <c r="A284" t="n">
        <v>114</v>
      </c>
      <c r="B284" t="inlineStr">
        <is>
          <t>Team 1</t>
        </is>
      </c>
      <c r="C284" t="n">
        <v>10</v>
      </c>
      <c r="D284">
        <f>HYPERLINK("https://www.google.com/maps/dir/12.184,75.928/12.380524,75.90309/12.385088,75.906142/12.386962,75.909058/12.390597,75.905831/12.389425,75.908322/12.386608,75.910442/12.383729,75.910136/12.381018,75.894781/12.379403,75.892701/12.372727,75.892477/12.184,75.928", "Open Route")</f>
        <v/>
      </c>
    </row>
    <row r="285">
      <c r="A285" t="n">
        <v>114</v>
      </c>
      <c r="B285" t="inlineStr">
        <is>
          <t>Team 3</t>
        </is>
      </c>
      <c r="C285" t="n">
        <v>6</v>
      </c>
      <c r="D285">
        <f>HYPERLINK("https://www.google.com/maps/dir/12.184,75.928/12.263978,75.687393/12.240574,75.719542/12.2421644,75.7097083/12.226263,75.705648/12.225626,75.719645/12.215579,75.709182/12.184,75.928", "Open Route")</f>
        <v/>
      </c>
    </row>
    <row r="286">
      <c r="A286" t="n">
        <v>115</v>
      </c>
      <c r="B286" t="inlineStr">
        <is>
          <t>Team 1</t>
        </is>
      </c>
      <c r="C286" t="n">
        <v>7</v>
      </c>
      <c r="D286">
        <f>HYPERLINK("https://www.google.com/maps/dir/12.184,75.928/12.44744,75.9332/12.451439,75.945279/12.453977,75.96377/12.4645799,75.953145/12.48158,75.94486/12.481722,75.936673/12.485336,75.922311/12.184,75.928", "Open Route")</f>
        <v/>
      </c>
    </row>
    <row r="287">
      <c r="A287" t="n">
        <v>115</v>
      </c>
      <c r="B287" t="inlineStr">
        <is>
          <t>Team 2</t>
        </is>
      </c>
      <c r="C287" t="n">
        <v>9</v>
      </c>
      <c r="D287">
        <f>HYPERLINK("https://www.google.com/maps/dir/12.184,75.928/12.452493,75.707851/12.455879,75.702056/12.4536379,75.702331/12.451911,75.703345/12.46227,75.701459/12.462203,75.701315/12.463774,75.704887/12.453683,75.698748/12.443349,75.704795/12.184,75.928", "Open Route")</f>
        <v/>
      </c>
    </row>
    <row r="288">
      <c r="A288" t="n">
        <v>115</v>
      </c>
      <c r="B288" t="inlineStr">
        <is>
          <t>Team 3</t>
        </is>
      </c>
      <c r="C288" t="n">
        <v>10</v>
      </c>
      <c r="D288">
        <f>HYPERLINK("https://www.google.com/maps/dir/12.184,75.928/12.312598,75.881952/12.311544,75.88519/12.31061,75.885243/12.31109,75.88524/12.312448,75.884785/12.311787,75.885117/12.311521,75.88182/12.311574,75.881901/12.310148,75.885256/12.31231,75.885143/12.184,75.928", "Open Route")</f>
        <v/>
      </c>
    </row>
    <row r="289">
      <c r="A289" t="n">
        <v>116</v>
      </c>
      <c r="B289" t="inlineStr">
        <is>
          <t>Team 1</t>
        </is>
      </c>
      <c r="C289" t="n">
        <v>8</v>
      </c>
      <c r="D289">
        <f>HYPERLINK("https://www.google.com/maps/dir/12.184,75.928/12.188159,75.959448/12.180727,75.961066/12.173056,75.959994/12.183729,75.960518/12.182065,75.962122/12.186411,75.95897/12.186359,75.960227/12.187606,75.963179/12.184,75.928", "Open Route")</f>
        <v/>
      </c>
    </row>
    <row r="290">
      <c r="A290" t="n">
        <v>116</v>
      </c>
      <c r="B290" t="inlineStr">
        <is>
          <t>Team 2</t>
        </is>
      </c>
      <c r="C290" t="n">
        <v>10</v>
      </c>
      <c r="D290">
        <f>HYPERLINK("https://www.google.com/maps/dir/12.184,75.928/12.362614,75.864921/12.42705,75.853591/12.42518,75.860658/12.428291,75.860382/12.423635,75.859944/12.4285035,75.860879/12.4418596,75.8521548/12.442002,75.8525927/12.429957,75.863358/12.426023,75.865688/12.184,75.928", "Open Route")</f>
        <v/>
      </c>
    </row>
    <row r="291">
      <c r="A291" t="n">
        <v>116</v>
      </c>
      <c r="B291" t="inlineStr">
        <is>
          <t>Team 3</t>
        </is>
      </c>
      <c r="C291" t="n">
        <v>10</v>
      </c>
      <c r="D291">
        <f>HYPERLINK("https://www.google.com/maps/dir/12.184,75.928/12.279578,75.783055/12.279195,75.783887/12.271255,75.786005/12.278163,75.788933/12.276163,75.783001/12.273504,75.791783/12.277116,75.789438/12.271541,75.784946/12.271941,75.790354/12.271445,75.793142/12.184,75.928", "Open Route")</f>
        <v/>
      </c>
    </row>
    <row r="292">
      <c r="A292" t="n">
        <v>117</v>
      </c>
      <c r="B292" t="inlineStr">
        <is>
          <t>Team 1</t>
        </is>
      </c>
      <c r="C292" t="n">
        <v>10</v>
      </c>
      <c r="D292">
        <f>HYPERLINK("https://www.google.com/maps/dir/12.184,75.928/12.393342,75.541671/12.385439,75.5416976/12.373393,75.544837/12.385448,75.549517/12.387057,75.541887/12.385791,75.542232/12.401993,75.507788/12.393938,75.53259/12.327116,75.615244/12.327114,75.615244/12.184,75.928", "Open Route")</f>
        <v/>
      </c>
    </row>
    <row r="293">
      <c r="A293" t="n">
        <v>117</v>
      </c>
      <c r="B293" t="inlineStr">
        <is>
          <t>Team 2</t>
        </is>
      </c>
      <c r="C293" t="n">
        <v>10</v>
      </c>
      <c r="D293">
        <f>HYPERLINK("https://www.google.com/maps/dir/12.184,75.928/12.139357,75.954817/12.127496,75.967683/12.1230635,75.97965/12.130902,75.974693/12.122621,75.975017/12.145498,75.937249/12.131228,75.925979/12.14402,75.95345/12.134813,75.940817/12.124303,75.949983/12.184,75.928", "Open Route")</f>
        <v/>
      </c>
    </row>
    <row r="294">
      <c r="A294" t="n">
        <v>117</v>
      </c>
      <c r="B294" t="inlineStr">
        <is>
          <t>Team 3</t>
        </is>
      </c>
      <c r="C294" t="n">
        <v>10</v>
      </c>
      <c r="D294">
        <f>HYPERLINK("https://www.google.com/maps/dir/12.184,75.928/12.335048,75.832984/12.365603,75.835056/12.39728,75.82159/12.399395,75.824063/12.397745,75.816268/12.3949386,75.8105946/12.407674,75.822365/12.407671,75.822367/12.40779,75.82159/12.347843,75.85847/12.184,75.928", "Open Route")</f>
        <v/>
      </c>
    </row>
    <row r="295">
      <c r="A295" t="n">
        <v>118</v>
      </c>
      <c r="B295" t="inlineStr">
        <is>
          <t>Team 1</t>
        </is>
      </c>
      <c r="C295" t="n">
        <v>10</v>
      </c>
      <c r="D295">
        <f>HYPERLINK("https://www.google.com/maps/dir/12.184,75.928/12.331103,75.798592/12.33465,75.80058/12.33513,75.80078/12.33507,75.80124/12.33352,75.7995/12.33471,75.80083/12.33471,75.80085/12.33522,75.80113/12.333269,75.800553/12.332735,75.800783/12.184,75.928", "Open Route")</f>
        <v/>
      </c>
    </row>
    <row r="296">
      <c r="A296" t="n">
        <v>118</v>
      </c>
      <c r="B296" t="inlineStr">
        <is>
          <t>Team 2</t>
        </is>
      </c>
      <c r="C296" t="n">
        <v>10</v>
      </c>
      <c r="D296">
        <f>HYPERLINK("https://www.google.com/maps/dir/12.184,75.928/12.114027,75.911358/12.115227,75.911272/12.113802,75.911812/12.115019,75.914704/12.112108,75.91506/12.107544,75.914187/12.107686,75.915361/12.109706,75.914463/12.10667,75.920103/12.106647,75.912047/12.184,75.928", "Open Route")</f>
        <v/>
      </c>
    </row>
    <row r="297">
      <c r="A297" t="n">
        <v>118</v>
      </c>
      <c r="B297" t="inlineStr">
        <is>
          <t>Team 3</t>
        </is>
      </c>
      <c r="C297" t="n">
        <v>3</v>
      </c>
      <c r="D297">
        <f>HYPERLINK("https://www.google.com/maps/dir/12.184,75.928/12.192957,75.769586/12.192684,75.770047/12.183871,75.755189/12.184,75.928", "Open Route")</f>
        <v/>
      </c>
    </row>
    <row r="298">
      <c r="A298" t="n">
        <v>119</v>
      </c>
      <c r="B298" t="inlineStr">
        <is>
          <t>Team 1</t>
        </is>
      </c>
      <c r="C298" t="n">
        <v>10</v>
      </c>
      <c r="D298">
        <f>HYPERLINK("https://www.google.com/maps/dir/12.184,75.928/12.36291,75.552403/12.363527,75.548058/12.368887,75.555653/12.363122,75.554682/12.363528,75.548058/12.369516,75.54939/12.369506,75.549902/12.363841,75.545447/12.363578,75.545986/12.363184,75.551911/12.184,75.928", "Open Route")</f>
        <v/>
      </c>
    </row>
    <row r="299">
      <c r="A299" t="n">
        <v>119</v>
      </c>
      <c r="B299" t="inlineStr">
        <is>
          <t>Team 3</t>
        </is>
      </c>
      <c r="C299" t="n">
        <v>10</v>
      </c>
      <c r="D299">
        <f>HYPERLINK("https://www.google.com/maps/dir/12.184,75.928/12.027822,76.034857/12.022084,76.012183/11.971675,76.086687/11.991941,76.036981/12.011878,76.030577/12.01368,76.0181/11.959527,76.013967/11.960908,76.002948/11.958048,76.009186/11.955687,76.005202/12.184,75.928", "Open Route")</f>
        <v/>
      </c>
    </row>
    <row r="300">
      <c r="A300" t="n">
        <v>120</v>
      </c>
      <c r="B300" t="inlineStr">
        <is>
          <t>Team 1</t>
        </is>
      </c>
      <c r="C300" t="n">
        <v>10</v>
      </c>
      <c r="D300">
        <f>HYPERLINK("https://www.google.com/maps/dir/12.184,75.928/12.110262,75.928543/12.105194,75.934817/12.102152,75.933983/12.11002,75.932905/12.106954,75.93179/12.104805,75.935244/12.110008,75.933561/12.107881,75.930749/12.100859,75.933776/12.099978,75.93466/12.184,75.928", "Open Route")</f>
        <v/>
      </c>
    </row>
    <row r="301">
      <c r="A301" t="n">
        <v>120</v>
      </c>
      <c r="B301" t="inlineStr">
        <is>
          <t>Team 2</t>
        </is>
      </c>
      <c r="C301" t="n">
        <v>10</v>
      </c>
      <c r="D301">
        <f>HYPERLINK("https://www.google.com/maps/dir/12.184,75.928/12.152828,76.001306/12.152706,75.998751/12.162597,75.999108/12.156356,75.998301/12.151544,75.996131/12.157399,75.995843/12.157338,75.992857/12.169844,75.992973/12.165775,75.994707/12.165355,75.991172/12.184,75.928", "Open Route")</f>
        <v/>
      </c>
    </row>
    <row r="302">
      <c r="A302" t="n">
        <v>120</v>
      </c>
      <c r="B302" t="inlineStr">
        <is>
          <t>Team 3</t>
        </is>
      </c>
      <c r="C302" t="n">
        <v>8</v>
      </c>
      <c r="D302">
        <f>HYPERLINK("https://www.google.com/maps/dir/12.184,75.928/12.21297,75.94661/12.21118,75.94855/12.21395,75.94935/12.21941,75.9539/12.21409,75.95144/12.21905,75.94772/12.21569,75.94822/12.246713,75.931841/12.184,75.928", "Open Route")</f>
        <v/>
      </c>
    </row>
    <row r="303">
      <c r="A303" t="n">
        <v>121</v>
      </c>
      <c r="B303" t="inlineStr">
        <is>
          <t>Team 1</t>
        </is>
      </c>
      <c r="C303" t="n">
        <v>10</v>
      </c>
      <c r="D303">
        <f>HYPERLINK("https://www.google.com/maps/dir/12.184,75.928/12.05066,75.863445/12.039846,75.844145/12.050454,75.86353/12.043286,75.864316/12.050652,75.863449/12.037335,75.844862/12.043123,75.865806/12.037821,75.868079/12.0340415,75.86946/12.040022,75.868649/12.184,75.928", "Open Route")</f>
        <v/>
      </c>
    </row>
    <row r="304">
      <c r="A304" t="n">
        <v>121</v>
      </c>
      <c r="B304" t="inlineStr">
        <is>
          <t>Team 2</t>
        </is>
      </c>
      <c r="C304" t="n">
        <v>10</v>
      </c>
      <c r="D304">
        <f>HYPERLINK("https://www.google.com/maps/dir/12.184,75.928/12.225503,75.854654/12.234586,75.852702/12.226225,75.851691/12.257308,75.852096/12.229394,75.842193/12.225336,75.830837/12.226131,75.833181/12.226233,75.833254/12.238976,75.829998/12.234816,75.833107/12.184,75.928", "Open Route")</f>
        <v/>
      </c>
    </row>
    <row r="305">
      <c r="A305" t="n">
        <v>121</v>
      </c>
      <c r="B305" t="inlineStr">
        <is>
          <t>Team 3</t>
        </is>
      </c>
      <c r="C305" t="n">
        <v>6</v>
      </c>
      <c r="D305">
        <f>HYPERLINK("https://www.google.com/maps/dir/12.184,75.928/12.427154,75.780029/12.42627,75.79081/12.429881,75.778257/12.428305,75.777019/12.4245918,75.7691089/12.4154398,75.77689/12.184,75.928", "Open Route")</f>
        <v/>
      </c>
    </row>
    <row r="306">
      <c r="A306" t="n">
        <v>122</v>
      </c>
      <c r="B306" t="inlineStr">
        <is>
          <t>Team 1</t>
        </is>
      </c>
      <c r="C306" t="n">
        <v>9</v>
      </c>
      <c r="D306">
        <f>HYPERLINK("https://www.google.com/maps/dir/12.184,75.928/12.213002,75.978241/12.209285,75.980194/12.210863,75.978798/12.217071,75.981381/12.214847,75.985383/12.209231,75.988581/12.203442,75.980571/12.2076333,75.9819601/12.206338,75.976912/12.184,75.928", "Open Route")</f>
        <v/>
      </c>
    </row>
    <row r="307">
      <c r="A307" t="n">
        <v>122</v>
      </c>
      <c r="B307" t="inlineStr">
        <is>
          <t>Team 2</t>
        </is>
      </c>
      <c r="C307" t="n">
        <v>10</v>
      </c>
      <c r="D307">
        <f>HYPERLINK("https://www.google.com/maps/dir/12.184,75.928/12.332216,75.789352/12.317807,75.752751/12.314781,75.752868/12.308531,75.755907/12.309411,75.755328/12.311586,75.751814/12.315032,75.753608/12.316334,75.755889/12.315985,75.756501/12.315317,75.762553/12.184,75.928", "Open Route")</f>
        <v/>
      </c>
    </row>
    <row r="308">
      <c r="A308" t="n">
        <v>122</v>
      </c>
      <c r="B308" t="inlineStr">
        <is>
          <t>Team 3</t>
        </is>
      </c>
      <c r="C308" t="n">
        <v>10</v>
      </c>
      <c r="D308">
        <f>HYPERLINK("https://www.google.com/maps/dir/12.184,75.928/12.133223,75.945334/12.130254,75.943524/12.130789,75.95126/12.132515,75.950595/12.131868,75.949451/12.129058,75.951271/12.129124,75.950711/12.133717,75.947512/12.134943,75.943614/12.133887,75.945859/12.184,75.928", "Open Route")</f>
        <v/>
      </c>
    </row>
    <row r="309">
      <c r="A309" t="n">
        <v>123</v>
      </c>
      <c r="B309" t="inlineStr">
        <is>
          <t>Team 1</t>
        </is>
      </c>
      <c r="C309" t="n">
        <v>10</v>
      </c>
      <c r="D309">
        <f>HYPERLINK("https://www.google.com/maps/dir/12.184,75.928/12.039011,76.000583/12.040242,76.001757/12.032803,75.998047/12.030337,75.995003/12.038498,75.974122/12.046431,75.977799/12.057862,75.985887/12.053589,75.992339/12.053588,75.992338/12.052765,75.994219/12.184,75.928", "Open Route")</f>
        <v/>
      </c>
    </row>
    <row r="310">
      <c r="A310" t="n">
        <v>123</v>
      </c>
      <c r="B310" t="inlineStr">
        <is>
          <t>Team 2</t>
        </is>
      </c>
      <c r="C310" t="n">
        <v>10</v>
      </c>
      <c r="D310">
        <f>HYPERLINK("https://www.google.com/maps/dir/12.184,75.928/12.177599,75.971357/12.168521,75.964917/12.168979,75.980973/12.162689,75.976851/12.170486,75.979103/12.165162,75.974086/12.163519,75.982331/12.175718,75.983074/12.163046,75.975071/12.156654,75.944968/12.184,75.928", "Open Route")</f>
        <v/>
      </c>
    </row>
    <row r="311">
      <c r="A311" t="n">
        <v>123</v>
      </c>
      <c r="B311" t="inlineStr">
        <is>
          <t>Team 3</t>
        </is>
      </c>
      <c r="C311" t="n">
        <v>10</v>
      </c>
      <c r="D311">
        <f>HYPERLINK("https://www.google.com/maps/dir/12.184,75.928/12.360783,75.772821/12.36077,75.772814/12.368499,75.750751/12.36913,75.756041/12.368502,75.750836/12.372125,75.744781/12.371839,75.743567/12.372924,75.744638/12.365287,75.745857/12.3422389,75.7688618/12.184,75.928", "Open Route")</f>
        <v/>
      </c>
    </row>
    <row r="312">
      <c r="A312" t="n">
        <v>124</v>
      </c>
      <c r="B312" t="inlineStr">
        <is>
          <t>Team 2</t>
        </is>
      </c>
      <c r="C312" t="n">
        <v>6</v>
      </c>
      <c r="D312">
        <f>HYPERLINK("https://www.google.com/maps/dir/12.184,75.928/12.525922,75.795242/12.5274568,75.7875404/12.522966,75.787018/12.527254,75.794375/12.514214,75.803119/12.515786,75.799454/12.184,75.928", "Open Route")</f>
        <v/>
      </c>
    </row>
    <row r="313">
      <c r="A313" t="n">
        <v>124</v>
      </c>
      <c r="B313" t="inlineStr">
        <is>
          <t>Team 3</t>
        </is>
      </c>
      <c r="C313" t="n">
        <v>10</v>
      </c>
      <c r="D313">
        <f>HYPERLINK("https://www.google.com/maps/dir/12.184,75.928/12.367123,75.555806/12.366642,75.553904/12.366545,75.55199/12.369104,75.547781/12.36724,75.553761/12.366599,75.553983/12.366176,75.554828/12.3666,75.554496/12.366453,75.552046/12.366681,75.55225/12.184,75.928", "Open Route")</f>
        <v/>
      </c>
    </row>
    <row r="314">
      <c r="A314" t="n">
        <v>125</v>
      </c>
      <c r="B314" t="inlineStr">
        <is>
          <t>Team 3</t>
        </is>
      </c>
      <c r="C314" t="n">
        <v>10</v>
      </c>
      <c r="D314">
        <f>HYPERLINK("https://www.google.com/maps/dir/12.184,75.928/12.305,75.95495/12.2983518,75.9541133/12.304195,75.96102/12.30506,75.95864/12.30224,75.95477/12.30225,75.95467/12.307388,75.953952/12.3042056,75.9582338/12.303636,75.958658/12.30501,75.95497/12.184,75.928", "Open Route")</f>
        <v/>
      </c>
    </row>
    <row r="315">
      <c r="A315" t="n">
        <v>126</v>
      </c>
      <c r="B315" t="inlineStr">
        <is>
          <t>Team 1</t>
        </is>
      </c>
      <c r="C315" t="n">
        <v>9</v>
      </c>
      <c r="D315">
        <f>HYPERLINK("https://www.google.com/maps/dir/12.184,75.928/12.243917,75.649356/12.245424,75.649551/12.243986,75.646893/12.246753,75.647068/12.244477,75.648305/12.248231,75.646392/12.257757,75.653555/12.244271,75.647111/12.247851,75.644058/12.184,75.928", "Open Route")</f>
        <v/>
      </c>
    </row>
    <row r="316">
      <c r="A316" t="n">
        <v>126</v>
      </c>
      <c r="B316" t="inlineStr">
        <is>
          <t>Team 2</t>
        </is>
      </c>
      <c r="C316" t="n">
        <v>9</v>
      </c>
      <c r="D316">
        <f>HYPERLINK("https://www.google.com/maps/dir/12.184,75.928/12.372096,75.855762/12.368381,75.859025/12.363813,75.854689/12.363574,75.854524/12.3636,75.854954/12.362767,75.853984/12.363275,75.854265/12.367712,75.857477/12.36867,75.85154/12.184,75.928", "Open Route")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2026-05-17T08:05:22Z</dcterms:created>
  <dcterms:modified xsi:type="dcterms:W3CDTF">2026-05-17T08:05:22Z</dcterms:modified>
</cp:coreProperties>
</file>